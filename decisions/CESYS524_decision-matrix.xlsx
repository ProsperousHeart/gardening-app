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J:\My Drive\Training\eCornell\Systems Design\CESYS524 - Assessing Your System's Performance And Value\Final Project\"/>
    </mc:Choice>
  </mc:AlternateContent>
  <xr:revisionPtr revIDLastSave="0" documentId="13_ncr:1_{4C29D4D8-EB9F-44B5-B95E-54ACA9C20D63}" xr6:coauthVersionLast="47" xr6:coauthVersionMax="47" xr10:uidLastSave="{00000000-0000-0000-0000-000000000000}"/>
  <bookViews>
    <workbookView xWindow="-108" yWindow="-108" windowWidth="23256" windowHeight="12456" activeTab="1" xr2:uid="{00000000-000D-0000-FFFF-FFFF00000000}"/>
  </bookViews>
  <sheets>
    <sheet name="Template" sheetId="1" r:id="rId1"/>
    <sheet name="KKeeton" sheetId="3" r:id="rId2"/>
    <sheet name="Sample" sheetId="2" r:id="rId3"/>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F22" i="3" l="1"/>
  <c r="AD22" i="3"/>
  <c r="AC22" i="3"/>
  <c r="AL24" i="3"/>
  <c r="AK24" i="3"/>
  <c r="AJ24" i="3"/>
  <c r="AI24" i="3"/>
  <c r="AH24" i="3"/>
  <c r="AH23" i="3"/>
  <c r="AF23" i="3"/>
  <c r="AE23" i="3"/>
  <c r="AD23" i="3"/>
  <c r="AC23" i="3"/>
  <c r="AH22" i="3"/>
  <c r="AL21" i="3"/>
  <c r="AK21" i="3"/>
  <c r="AH21" i="3"/>
  <c r="AF21" i="3"/>
  <c r="AE21" i="3"/>
  <c r="AD21" i="3"/>
  <c r="AJ21" i="3" s="1"/>
  <c r="AC21" i="3"/>
  <c r="AK20" i="3"/>
  <c r="AH20" i="3"/>
  <c r="AF20" i="3"/>
  <c r="AE20" i="3"/>
  <c r="AD20" i="3"/>
  <c r="AC20" i="3"/>
  <c r="AH19" i="3"/>
  <c r="AF19" i="3"/>
  <c r="AL19" i="3" s="1"/>
  <c r="AE19" i="3"/>
  <c r="AK19" i="3" s="1"/>
  <c r="AD19" i="3"/>
  <c r="AJ19" i="3" s="1"/>
  <c r="AC19" i="3"/>
  <c r="AH18" i="3"/>
  <c r="AF18" i="3"/>
  <c r="AE18" i="3"/>
  <c r="AD18" i="3"/>
  <c r="AC18" i="3"/>
  <c r="AH17" i="3"/>
  <c r="AF17" i="3"/>
  <c r="AE17" i="3"/>
  <c r="AD17" i="3"/>
  <c r="AC17" i="3"/>
  <c r="AH16" i="3"/>
  <c r="AF16" i="3"/>
  <c r="AE16" i="3"/>
  <c r="AD16" i="3"/>
  <c r="AC16" i="3"/>
  <c r="AH15" i="3"/>
  <c r="AF15" i="3"/>
  <c r="AE15" i="3"/>
  <c r="AD15" i="3"/>
  <c r="AC15" i="3"/>
  <c r="AI15" i="3" s="1"/>
  <c r="L22" i="3"/>
  <c r="J22" i="3"/>
  <c r="I22" i="3"/>
  <c r="K22" i="3" s="1"/>
  <c r="R24" i="3"/>
  <c r="Q24" i="3"/>
  <c r="P24" i="3"/>
  <c r="O24" i="3"/>
  <c r="N15" i="3"/>
  <c r="N16" i="3"/>
  <c r="AJ16" i="3" s="1"/>
  <c r="N17" i="3"/>
  <c r="AI17" i="3" s="1"/>
  <c r="N18" i="3"/>
  <c r="N19" i="3"/>
  <c r="N20" i="3"/>
  <c r="N21" i="3"/>
  <c r="N22" i="3"/>
  <c r="AL22" i="3" s="1"/>
  <c r="N23" i="3"/>
  <c r="N24" i="3"/>
  <c r="J23" i="3"/>
  <c r="K23" i="3"/>
  <c r="K21" i="3"/>
  <c r="J21" i="3"/>
  <c r="J20" i="3"/>
  <c r="K20" i="3"/>
  <c r="J19" i="3"/>
  <c r="K19" i="3"/>
  <c r="Q19" i="3" s="1"/>
  <c r="J18" i="3"/>
  <c r="K18" i="3"/>
  <c r="J17" i="3"/>
  <c r="K17" i="3"/>
  <c r="I17" i="3"/>
  <c r="L17" i="3"/>
  <c r="L18" i="3"/>
  <c r="L19" i="3"/>
  <c r="L20" i="3"/>
  <c r="L21" i="3"/>
  <c r="L23" i="3"/>
  <c r="L16" i="3"/>
  <c r="J16" i="3"/>
  <c r="K16" i="3"/>
  <c r="I16" i="3"/>
  <c r="I23" i="3"/>
  <c r="I18" i="3"/>
  <c r="I19" i="3"/>
  <c r="I20" i="3"/>
  <c r="I21" i="3"/>
  <c r="I15" i="3"/>
  <c r="L15" i="3"/>
  <c r="K15" i="3"/>
  <c r="J15" i="3"/>
  <c r="M16" i="1"/>
  <c r="N16" i="1"/>
  <c r="M17" i="1"/>
  <c r="N17" i="1"/>
  <c r="M18" i="1"/>
  <c r="N18" i="1"/>
  <c r="M19" i="1"/>
  <c r="N19" i="1"/>
  <c r="M20" i="1"/>
  <c r="N20" i="1"/>
  <c r="M21" i="1"/>
  <c r="N21" i="1"/>
  <c r="L21" i="1"/>
  <c r="L20" i="1"/>
  <c r="L19" i="1"/>
  <c r="L18" i="1"/>
  <c r="L17" i="1"/>
  <c r="L16" i="1"/>
  <c r="M15" i="1"/>
  <c r="N15" i="1"/>
  <c r="L15" i="1"/>
  <c r="L14" i="1"/>
  <c r="M14" i="1"/>
  <c r="N14" i="1"/>
  <c r="I22" i="1"/>
  <c r="J22" i="1"/>
  <c r="H22" i="1"/>
  <c r="M22" i="1"/>
  <c r="N22" i="1"/>
  <c r="L22" i="1"/>
  <c r="I62" i="2"/>
  <c r="E63" i="2" s="1"/>
  <c r="J111" i="2" s="1"/>
  <c r="C151" i="2"/>
  <c r="K165" i="2" s="1"/>
  <c r="K183" i="2" s="1"/>
  <c r="I71" i="2"/>
  <c r="D72" i="2" s="1"/>
  <c r="D73" i="2" s="1"/>
  <c r="I112" i="2" s="1"/>
  <c r="I126" i="2" s="1"/>
  <c r="I166" i="2" s="1"/>
  <c r="I184" i="2" s="1"/>
  <c r="C152" i="2"/>
  <c r="K166" i="2" s="1"/>
  <c r="K184" i="2" s="1"/>
  <c r="D80" i="2"/>
  <c r="D83" i="2"/>
  <c r="D84" i="2" s="1"/>
  <c r="D85" i="2" s="1"/>
  <c r="I113" i="2" s="1"/>
  <c r="I127" i="2" s="1"/>
  <c r="I167" i="2" s="1"/>
  <c r="I185" i="2" s="1"/>
  <c r="C153" i="2"/>
  <c r="K167" i="2" s="1"/>
  <c r="K185" i="2" s="1"/>
  <c r="I114" i="2"/>
  <c r="I128" i="2" s="1"/>
  <c r="I168" i="2" s="1"/>
  <c r="I186" i="2" s="1"/>
  <c r="C154" i="2"/>
  <c r="K168" i="2" s="1"/>
  <c r="K186" i="2" s="1"/>
  <c r="I105" i="2"/>
  <c r="E106" i="2" s="1"/>
  <c r="J115" i="2" s="1"/>
  <c r="J129" i="2" s="1"/>
  <c r="J169" i="2" s="1"/>
  <c r="J187" i="2" s="1"/>
  <c r="N187" i="2" s="1"/>
  <c r="C155" i="2"/>
  <c r="K169" i="2"/>
  <c r="K187" i="2" s="1"/>
  <c r="I116" i="2"/>
  <c r="I130" i="2"/>
  <c r="I170" i="2"/>
  <c r="I188" i="2"/>
  <c r="C156" i="2"/>
  <c r="K170" i="2" s="1"/>
  <c r="K188" i="2" s="1"/>
  <c r="I117" i="2"/>
  <c r="I131" i="2"/>
  <c r="I171" i="2"/>
  <c r="I189" i="2"/>
  <c r="M189" i="2" s="1"/>
  <c r="C157" i="2"/>
  <c r="K171" i="2"/>
  <c r="K189" i="2"/>
  <c r="I132" i="2"/>
  <c r="I172" i="2" s="1"/>
  <c r="I190" i="2" s="1"/>
  <c r="C158" i="2"/>
  <c r="K172" i="2" s="1"/>
  <c r="K190" i="2" s="1"/>
  <c r="E72" i="2"/>
  <c r="E73" i="2" s="1"/>
  <c r="J112" i="2" s="1"/>
  <c r="J126" i="2" s="1"/>
  <c r="J166" i="2" s="1"/>
  <c r="J184" i="2" s="1"/>
  <c r="E80" i="2"/>
  <c r="E83" i="2"/>
  <c r="E84" i="2" s="1"/>
  <c r="E85" i="2" s="1"/>
  <c r="J113" i="2" s="1"/>
  <c r="J127" i="2" s="1"/>
  <c r="J167" i="2" s="1"/>
  <c r="J185" i="2" s="1"/>
  <c r="J114" i="2"/>
  <c r="J128" i="2" s="1"/>
  <c r="J168" i="2" s="1"/>
  <c r="J186" i="2" s="1"/>
  <c r="J116" i="2"/>
  <c r="J130" i="2" s="1"/>
  <c r="J170" i="2" s="1"/>
  <c r="J188" i="2" s="1"/>
  <c r="J117" i="2"/>
  <c r="J131" i="2" s="1"/>
  <c r="J171" i="2" s="1"/>
  <c r="J189" i="2" s="1"/>
  <c r="N189" i="2" s="1"/>
  <c r="J132" i="2"/>
  <c r="J172" i="2" s="1"/>
  <c r="J190" i="2" s="1"/>
  <c r="N190" i="2" s="1"/>
  <c r="C63" i="2"/>
  <c r="H111" i="2"/>
  <c r="C80" i="2"/>
  <c r="C83" i="2" s="1"/>
  <c r="C84" i="2" s="1"/>
  <c r="C85" i="2" s="1"/>
  <c r="H113" i="2" s="1"/>
  <c r="H127" i="2" s="1"/>
  <c r="H167" i="2" s="1"/>
  <c r="H185" i="2" s="1"/>
  <c r="H114" i="2"/>
  <c r="H128" i="2"/>
  <c r="H168" i="2" s="1"/>
  <c r="H186" i="2" s="1"/>
  <c r="H116" i="2"/>
  <c r="H130" i="2" s="1"/>
  <c r="H170" i="2" s="1"/>
  <c r="H188" i="2" s="1"/>
  <c r="H117" i="2"/>
  <c r="H131" i="2"/>
  <c r="H171" i="2"/>
  <c r="H189" i="2"/>
  <c r="H132" i="2"/>
  <c r="H172" i="2" s="1"/>
  <c r="H190" i="2" s="1"/>
  <c r="L190" i="2" s="1"/>
  <c r="AI23" i="3" l="1"/>
  <c r="N25" i="3"/>
  <c r="AI21" i="3"/>
  <c r="AJ23" i="3"/>
  <c r="AL15" i="3"/>
  <c r="AL25" i="3" s="1"/>
  <c r="AK23" i="3"/>
  <c r="AL16" i="3"/>
  <c r="AH25" i="3"/>
  <c r="AL23" i="3"/>
  <c r="AL20" i="3"/>
  <c r="AJ15" i="3"/>
  <c r="R22" i="3"/>
  <c r="AK15" i="3"/>
  <c r="AK18" i="3"/>
  <c r="AI22" i="3"/>
  <c r="AI18" i="3"/>
  <c r="AJ18" i="3"/>
  <c r="AJ17" i="3"/>
  <c r="AL18" i="3"/>
  <c r="AI20" i="3"/>
  <c r="AJ22" i="3"/>
  <c r="AD25" i="3"/>
  <c r="AK17" i="3"/>
  <c r="AJ20" i="3"/>
  <c r="AE22" i="3"/>
  <c r="AK22" i="3" s="1"/>
  <c r="AI16" i="3"/>
  <c r="O20" i="3"/>
  <c r="AK16" i="3"/>
  <c r="AL17" i="3"/>
  <c r="AI19" i="3"/>
  <c r="AC25" i="3"/>
  <c r="AE25" i="3"/>
  <c r="AF25" i="3"/>
  <c r="O19" i="3"/>
  <c r="Q21" i="3"/>
  <c r="P20" i="3"/>
  <c r="R16" i="3"/>
  <c r="R23" i="3"/>
  <c r="R20" i="3"/>
  <c r="P23" i="3"/>
  <c r="O23" i="3"/>
  <c r="R19" i="3"/>
  <c r="P19" i="3"/>
  <c r="P21" i="3"/>
  <c r="P18" i="3"/>
  <c r="O22" i="3"/>
  <c r="P22" i="3"/>
  <c r="R18" i="3"/>
  <c r="O21" i="3"/>
  <c r="O17" i="3"/>
  <c r="O18" i="3"/>
  <c r="Q18" i="3"/>
  <c r="P17" i="3"/>
  <c r="R21" i="3"/>
  <c r="Q23" i="3"/>
  <c r="Q17" i="3"/>
  <c r="Q16" i="3"/>
  <c r="O16" i="3"/>
  <c r="P16" i="3"/>
  <c r="R17" i="3"/>
  <c r="Q20" i="3"/>
  <c r="Q15" i="3"/>
  <c r="Q22" i="3"/>
  <c r="I25" i="3"/>
  <c r="L25" i="3"/>
  <c r="R15" i="3"/>
  <c r="P15" i="3"/>
  <c r="J25" i="3"/>
  <c r="O15" i="3"/>
  <c r="M186" i="2"/>
  <c r="M185" i="2"/>
  <c r="N188" i="2"/>
  <c r="N185" i="2"/>
  <c r="M188" i="2"/>
  <c r="L186" i="2"/>
  <c r="N186" i="2"/>
  <c r="L189" i="2"/>
  <c r="L185" i="2"/>
  <c r="N184" i="2"/>
  <c r="D106" i="2"/>
  <c r="I115" i="2" s="1"/>
  <c r="I129" i="2" s="1"/>
  <c r="I169" i="2" s="1"/>
  <c r="I187" i="2" s="1"/>
  <c r="M187" i="2" s="1"/>
  <c r="M190" i="2"/>
  <c r="L188" i="2"/>
  <c r="M184" i="2"/>
  <c r="J119" i="2"/>
  <c r="J133" i="2" s="1"/>
  <c r="J173" i="2" s="1"/>
  <c r="J191" i="2" s="1"/>
  <c r="J125" i="2"/>
  <c r="J165" i="2" s="1"/>
  <c r="J183" i="2" s="1"/>
  <c r="N183" i="2" s="1"/>
  <c r="N191" i="2" s="1"/>
  <c r="I199" i="2" s="1"/>
  <c r="H125" i="2"/>
  <c r="H165" i="2" s="1"/>
  <c r="H183" i="2" s="1"/>
  <c r="L183" i="2" s="1"/>
  <c r="D63" i="2"/>
  <c r="I111" i="2" s="1"/>
  <c r="C106" i="2"/>
  <c r="H115" i="2" s="1"/>
  <c r="H129" i="2" s="1"/>
  <c r="H169" i="2" s="1"/>
  <c r="H187" i="2" s="1"/>
  <c r="L187" i="2" s="1"/>
  <c r="C159" i="2"/>
  <c r="C72" i="2"/>
  <c r="C73" i="2" s="1"/>
  <c r="H112" i="2" s="1"/>
  <c r="H126" i="2" s="1"/>
  <c r="H166" i="2" s="1"/>
  <c r="H184" i="2" s="1"/>
  <c r="L184" i="2" s="1"/>
  <c r="AJ25" i="3" l="1"/>
  <c r="AI25" i="3"/>
  <c r="AK25" i="3"/>
  <c r="K25" i="3"/>
  <c r="R25" i="3"/>
  <c r="O25" i="3"/>
  <c r="Q25" i="3"/>
  <c r="P25" i="3"/>
  <c r="I125" i="2"/>
  <c r="I165" i="2" s="1"/>
  <c r="I183" i="2" s="1"/>
  <c r="M183" i="2" s="1"/>
  <c r="M191" i="2" s="1"/>
  <c r="J199" i="2" s="1"/>
  <c r="I119" i="2"/>
  <c r="I133" i="2" s="1"/>
  <c r="I173" i="2" s="1"/>
  <c r="I191" i="2" s="1"/>
  <c r="H119" i="2"/>
  <c r="H133" i="2" s="1"/>
  <c r="H173" i="2" s="1"/>
  <c r="H191" i="2" s="1"/>
  <c r="L191" i="2"/>
  <c r="E198" i="2" l="1"/>
  <c r="H199" i="2"/>
  <c r="E199" i="2" l="1"/>
  <c r="E200" i="2" s="1"/>
</calcChain>
</file>

<file path=xl/sharedStrings.xml><?xml version="1.0" encoding="utf-8"?>
<sst xmlns="http://schemas.openxmlformats.org/spreadsheetml/2006/main" count="547" uniqueCount="175">
  <si>
    <t>Sample Decision Matrix Construction</t>
  </si>
  <si>
    <t xml:space="preserve"> </t>
  </si>
  <si>
    <t xml:space="preserve"> Cornell University College of Engineering</t>
  </si>
  <si>
    <t>Example:  Laptop Selection</t>
  </si>
  <si>
    <t xml:space="preserve">Decision Matrix </t>
  </si>
  <si>
    <t>Steps 0 - 2</t>
  </si>
  <si>
    <t>Template and Sample</t>
  </si>
  <si>
    <t>Instructions:</t>
  </si>
  <si>
    <t>Option A</t>
  </si>
  <si>
    <t>Option B</t>
  </si>
  <si>
    <t>Cost</t>
  </si>
  <si>
    <t>Weight</t>
  </si>
  <si>
    <t>CPU</t>
  </si>
  <si>
    <t>Memory</t>
  </si>
  <si>
    <t>Warranty Coverage</t>
  </si>
  <si>
    <t>Graphics</t>
  </si>
  <si>
    <t>Notes</t>
  </si>
  <si>
    <t>Future Availability</t>
  </si>
  <si>
    <t>Option C</t>
  </si>
  <si>
    <t>Min Value</t>
  </si>
  <si>
    <t>Max Value</t>
  </si>
  <si>
    <t>Maximum resolution is obtained at highest frame rate for all sample programs</t>
  </si>
  <si>
    <t>Maximum resolution is obtained at highest frame rate for 3 out of 5 sample programs, Remaining 2 can be run at the 2nd largest resolution at the highest frame rate</t>
  </si>
  <si>
    <t>Maximum resolution is obtained at highest frame rate for 1 out of 5 sample programs, Remaining 4 can be run at the 2nd largest resolution at the 2nd highest frame rate</t>
  </si>
  <si>
    <t>2nd highest resolution is obtained at 2nd highest frame rate for 3 out of 5 sample programs, Remaining 2 can be run at the 2nd largest resolution at the 3rd highest frame rate</t>
  </si>
  <si>
    <t>All sample programs, can be run at the either the 2nd largest resolution at the 3rd highest frame rate, or the 3rd largest resolution and the 2nd largest resolution</t>
  </si>
  <si>
    <t>Steps 3 - 4</t>
  </si>
  <si>
    <t>Battery Runtime (hours)</t>
  </si>
  <si>
    <t>15 hrs</t>
  </si>
  <si>
    <t>600 min.</t>
  </si>
  <si>
    <t>12 hrs</t>
  </si>
  <si>
    <t>8 hrs</t>
  </si>
  <si>
    <t>Cost (dollars)</t>
  </si>
  <si>
    <t>$50/month</t>
  </si>
  <si>
    <t>2.0 GHz</t>
  </si>
  <si>
    <t>1.0 GHz</t>
  </si>
  <si>
    <t>1.7 GHz</t>
  </si>
  <si>
    <t>2 GB</t>
  </si>
  <si>
    <t>1.75 GB</t>
  </si>
  <si>
    <t>1280 MB</t>
  </si>
  <si>
    <t>1 GB</t>
  </si>
  <si>
    <t>5 yrs</t>
  </si>
  <si>
    <t>yes</t>
  </si>
  <si>
    <t>N/A</t>
  </si>
  <si>
    <t>Score Totals</t>
  </si>
  <si>
    <t>Step 5</t>
  </si>
  <si>
    <t>Battery Runtime</t>
  </si>
  <si>
    <t>Convert Units</t>
  </si>
  <si>
    <t>Divide by Largest Value</t>
  </si>
  <si>
    <t>Has a processors speed at or above 1.8 GHz</t>
  </si>
  <si>
    <t>Has a processors speed at or above 1.5 GHz</t>
  </si>
  <si>
    <t>Has a processors speed at or above 1.3 GHz</t>
  </si>
  <si>
    <t>Has a processors speed at or above 1.0 GHz</t>
  </si>
  <si>
    <t>Has a processors speed at or above 0.75 GHz</t>
  </si>
  <si>
    <t>Covert Units</t>
  </si>
  <si>
    <t>Divide all values by the sum</t>
  </si>
  <si>
    <t>Cost (dollars,1 yr duty)</t>
  </si>
  <si>
    <t>CPU (GHz)</t>
  </si>
  <si>
    <t>Memory (GB)</t>
  </si>
  <si>
    <t>Warranty Coverage (%)</t>
  </si>
  <si>
    <t>Percentages are often simply converted to 0-1</t>
  </si>
  <si>
    <t>Graphics (5 is best)</t>
  </si>
  <si>
    <t xml:space="preserve">Rating Systems are often directly converted to a 0-1 scale </t>
  </si>
  <si>
    <t>Future Availability (yrs)</t>
  </si>
  <si>
    <t>Step 6</t>
  </si>
  <si>
    <t>Weighting Examples</t>
  </si>
  <si>
    <t>Step 7</t>
  </si>
  <si>
    <t>Final Score = Sum(Rating * Weight)    or    Sum(Normalized Value * Weight)</t>
  </si>
  <si>
    <t>Reject any Options that violate the min value, max value, or min rating thresholds</t>
  </si>
  <si>
    <t>Step 8</t>
  </si>
  <si>
    <t>Comparing Final Score Results</t>
  </si>
  <si>
    <t>Consider only those within x% (commonly 10%) of the top score</t>
  </si>
  <si>
    <t>Top Score</t>
  </si>
  <si>
    <t>10% of Top Score</t>
  </si>
  <si>
    <t>Consider Options with Scores of this or higher</t>
  </si>
  <si>
    <t>Score</t>
  </si>
  <si>
    <t>Criteria</t>
  </si>
  <si>
    <t>Give a Score Multiplier for Each Criterion Along a the Same Scale (maybe 0-1, or 1-5, or 1-3, or 1-10), All Criteria &amp; Options Treated Independently</t>
  </si>
  <si>
    <t>Give a Score Multiplier for Each Criterion such that the Weight Column Sums to 1</t>
  </si>
  <si>
    <t>Battery Life</t>
  </si>
  <si>
    <t>Scale Conditions</t>
  </si>
  <si>
    <t>Normalized Score Levels</t>
  </si>
  <si>
    <t>Normalized scores</t>
  </si>
  <si>
    <t>Sum of the values =</t>
  </si>
  <si>
    <t>Add 0.5 to shift the scale (was a -0.5 to 0.5 scale , now it is a 0 to 1 scale)</t>
  </si>
  <si>
    <t>Calculate differences from the base line for each option</t>
  </si>
  <si>
    <t xml:space="preserve">Divide by the range size </t>
  </si>
  <si>
    <t>Determine the allowable range of variation from the baseline based on stakeholder needs (here we'll use a maximum absolute difference = 2)</t>
  </si>
  <si>
    <t>In this example, lower weight is better, so then subtract each option score from 1</t>
  </si>
  <si>
    <t>Set a Base Line weight =</t>
  </si>
  <si>
    <t>Range size is twice the maximum absolute difference, so the range size =</t>
  </si>
  <si>
    <t>Largest Option value =</t>
  </si>
  <si>
    <t>Convert values based on assumption of 1 year of use</t>
  </si>
  <si>
    <t>Divide by Largest Option value</t>
  </si>
  <si>
    <t>In this example, lower cost is better, so subtract each option score from 1</t>
  </si>
  <si>
    <t xml:space="preserve">It is rare to have a min or max value for a rating system you have come up with, </t>
  </si>
  <si>
    <t>unless the rating system being used was originally developed for something else or is a more generic rating system.</t>
  </si>
  <si>
    <t>Scale Condition</t>
  </si>
  <si>
    <t>First, always see what's already been done.</t>
  </si>
  <si>
    <t>Then begin creating your decision matrix.</t>
  </si>
  <si>
    <t>Values</t>
  </si>
  <si>
    <t>Normalized Values</t>
  </si>
  <si>
    <t>Final Scores</t>
  </si>
  <si>
    <t xml:space="preserve"> Sum to check for 100%</t>
  </si>
  <si>
    <t>Graph</t>
  </si>
  <si>
    <t>highest to lowest</t>
  </si>
  <si>
    <r>
      <t xml:space="preserve">Plot the results by Final Score and look for a </t>
    </r>
    <r>
      <rPr>
        <b/>
        <i/>
        <sz val="14"/>
        <rFont val="Arial"/>
      </rPr>
      <t>kink</t>
    </r>
    <r>
      <rPr>
        <b/>
        <sz val="14"/>
        <rFont val="Arial"/>
      </rPr>
      <t xml:space="preserve">or </t>
    </r>
    <r>
      <rPr>
        <b/>
        <i/>
        <sz val="14"/>
        <rFont val="Arial"/>
      </rPr>
      <t>drop-off</t>
    </r>
    <r>
      <rPr>
        <b/>
        <sz val="14"/>
        <rFont val="Arial"/>
      </rPr>
      <t xml:space="preserve"> in the scores.</t>
    </r>
  </si>
  <si>
    <t>Normalization Methods</t>
  </si>
  <si>
    <t>Method 1: Take the largest value and divide all values by that</t>
  </si>
  <si>
    <t>Method 3: Compare to a baseline value</t>
  </si>
  <si>
    <t>Method  5: Sum all the values in a row and then divide all individual values by that sum</t>
  </si>
  <si>
    <t>Method 5: Sum all the values in a row and then divide all individual values by that sum</t>
  </si>
  <si>
    <t>Graphics Performance Measurement Scale</t>
  </si>
  <si>
    <t>Method 4: Come up with a ranking system like what was done to measure Graphics Performance</t>
  </si>
  <si>
    <t>Method 4: Come up with a ranking system</t>
  </si>
  <si>
    <t>Method 2: If smaller is better do the same as in method 1 but then subtract your answer from 1</t>
  </si>
  <si>
    <t>Method 2: If smaller is better do the same as in Method 1 but then subtract your answer from 1</t>
  </si>
  <si>
    <t>For unknown values, it is common to give typically the worst or the median of all possible values. The median value for a 0 to 1 scale is given here for the unknown value.</t>
  </si>
  <si>
    <t>Weight (pounds)</t>
  </si>
  <si>
    <t xml:space="preserve">Use this template to create your own Decision Matrix to assign objective values to your criteria. Your table should include a list of criteria for your different options as well as values, min and max values where appropriate, normalized values, the criteria weight (or importance), and a final score. Be sure to add the necessary scoring guidelines below the matrix for any criteria that cannot be directly measured. 
</t>
  </si>
  <si>
    <r>
      <t>Use the</t>
    </r>
    <r>
      <rPr>
        <i/>
        <sz val="14"/>
        <color rgb="FF000000"/>
        <rFont val="Arial"/>
      </rPr>
      <t xml:space="preserve"> Sample</t>
    </r>
    <r>
      <rPr>
        <sz val="14"/>
        <color rgb="FF000000"/>
        <rFont val="Arial"/>
      </rPr>
      <t xml:space="preserve"> tab to help you through the process.  </t>
    </r>
  </si>
  <si>
    <t xml:space="preserve"> list criteria here</t>
  </si>
  <si>
    <t>Add your scale measure definitions here.</t>
  </si>
  <si>
    <t>Scale Measure for [add criteria name here]</t>
  </si>
  <si>
    <t>CESYS524: Assessing Your System’s Performance and Value</t>
  </si>
  <si>
    <t>When searching for a plant name, if found it provides required information to seed, grow, tend, and harvest the plant</t>
  </si>
  <si>
    <t xml:space="preserve"> List of available plants is easy to navigate with little to no overhead</t>
  </si>
  <si>
    <t xml:space="preserve"> Able to search plants by generic name, scientific name, or based on certain criteria (e.g.: companion plant, growing zone, etc)</t>
  </si>
  <si>
    <t xml:space="preserve"> Able to filter plants based on first / last frost date and local USDA zone.</t>
  </si>
  <si>
    <t xml:space="preserve"> When viewing plant information, able to see at least 1 photo.</t>
  </si>
  <si>
    <t xml:space="preserve"> Able to locate a plant within 3 seconds or alert that the plant was not found.</t>
  </si>
  <si>
    <t>The system shall suggest additional plants based on local USDA zone and current time of year.</t>
  </si>
  <si>
    <t>User Effort / Efficiency</t>
  </si>
  <si>
    <t>Buying Seed Packets</t>
  </si>
  <si>
    <t>Google Search</t>
  </si>
  <si>
    <t>API Or Online App</t>
  </si>
  <si>
    <t>Number</t>
  </si>
  <si>
    <t>Scale Measure for "Required Gardening Minimum" (#1)</t>
  </si>
  <si>
    <t>Single plant found from search provides generic name, seed spacing, and suggested USDA zone. Includes germination time as well as first and last frost dates. Provides estimated harvest timeline from sowing. Additional tips shared.</t>
  </si>
  <si>
    <t>Single plant found from search provides generic name, seed spacing, and suggested USDA zone. Includes germination time as well as first and last frost dates.</t>
  </si>
  <si>
    <t>Scale Measure for "Easy Navigation List of Plants" (#2)</t>
  </si>
  <si>
    <t>Scale Measure for "Able To Search For Plant By Name Or Criteria" (#3)</t>
  </si>
  <si>
    <t>Scale Measure for "Able to Filter Based On Frost Dates &amp; USDA Zone" (#4)</t>
  </si>
  <si>
    <t>Scale Measure for "Able To See At Least One Photo Of Plant" (#5)</t>
  </si>
  <si>
    <t>Scale Measure for "Able to Locate Plant Info Within 3 Seconds Or Give Missing Info Alert" (#6)</t>
  </si>
  <si>
    <t>Scale Measure for "Suggests Additional Plants Based on local USDA zone &amp; Time of Year" (#7)</t>
  </si>
  <si>
    <t>Scale Measure for "User Effort / Efficiency" (#9)</t>
  </si>
  <si>
    <t>Search able to produce one or more plants based on search parameters within 3 seconds</t>
  </si>
  <si>
    <t>Search able to produce one or more plants based on search parameters within 5 seconds</t>
  </si>
  <si>
    <t>Unable to produce a search result or takes 5 seconds or more.</t>
  </si>
  <si>
    <t>Single plant found from search provides generic name, seed spacing, and suggested USDA zone. Or unable to locate.</t>
  </si>
  <si>
    <t>Buying OK Seed Packets</t>
  </si>
  <si>
    <t>Buying GREAT Seed Packets</t>
  </si>
  <si>
    <t>No list. May be difficult to locate the plant at all.</t>
  </si>
  <si>
    <t>List available but may be dificult to find or missing information. Takes user more than 10 seconds to understand how to use.</t>
  </si>
  <si>
    <t>List of plants to search is easily located &amp; searched. Takes less than 10 seconds to understand how to use.</t>
  </si>
  <si>
    <t>Only able to search by generic plant name.</t>
  </si>
  <si>
    <t>Able to search by generic plant name and 1 other characteristic.</t>
  </si>
  <si>
    <t>Able to search by generic plant name and 2 other characteristics.</t>
  </si>
  <si>
    <t>Able to search by generic plant name and 2+ other characteristics. Also can search by companion plants or growing zone.</t>
  </si>
  <si>
    <t>Able to search by generic plant name and 2+ other characteristics. Also can search by companion plants and growing zone.</t>
  </si>
  <si>
    <t>Not able to filter options based on first / last frost date(s). Not able to filter on USDA zone suggested plants.</t>
  </si>
  <si>
    <t>Able to filter on frost dates or USDA zone.</t>
  </si>
  <si>
    <t>Able to filter on frost dates and USDA zone.</t>
  </si>
  <si>
    <t>No photo or drawing of plant.</t>
  </si>
  <si>
    <t>1 photo or drawing of plant.</t>
  </si>
  <si>
    <t>More than 1 photo or drawing of plant.</t>
  </si>
  <si>
    <t>Provides no suggestions of additional plants to grow near the plant in question.</t>
  </si>
  <si>
    <t>Provides suggestions of additional plants to grow based on USDA zone.</t>
  </si>
  <si>
    <t>Provides suggestions of additional plants to grow based on USDA zone &amp; time of year.</t>
  </si>
  <si>
    <t>No efforts were made to locate the plant. Easy to pick up at local store or in some catalog.</t>
  </si>
  <si>
    <t>Search completed but missing information, not detailed enough, or user is unsatisfied with outcome.</t>
  </si>
  <si>
    <t>Plant information was easy to find and the process took less than 10 seconds to complete - including typing.</t>
  </si>
  <si>
    <t>1 = 2 = 9 &gt; 3 = 6 = 8 &gt; 4 &gt; 5 = 7
60 = 60 = 60 &gt; 50 = 50 = 50 &gt; 40 &gt; 30 = 30</t>
  </si>
  <si>
    <t>Weight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</si>
</sst>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0.0"/>
    <numFmt numFmtId="165" formatCode="&quot;$&quot;#,##0.00"/>
    <numFmt numFmtId="166" formatCode="&quot;$&quot;#,##0"/>
    <numFmt numFmtId="167" formatCode="0.000"/>
    <numFmt numFmtId="168" formatCode="0.0000"/>
  </numFmts>
  <fonts count="29" x14ac:knownFonts="1">
    <font>
      <sz val="10"/>
      <color rgb="FF000000"/>
      <name val="Arial"/>
    </font>
    <font>
      <sz val="10"/>
      <color rgb="FF000000"/>
      <name val="Arial"/>
    </font>
    <font>
      <b/>
      <sz val="14"/>
      <color rgb="FF000000"/>
      <name val="Arial"/>
    </font>
    <font>
      <sz val="10"/>
      <name val="Arial"/>
    </font>
    <font>
      <sz val="14"/>
      <name val="Arial"/>
    </font>
    <font>
      <b/>
      <sz val="18"/>
      <color rgb="FF000000"/>
      <name val="Arial"/>
    </font>
    <font>
      <b/>
      <sz val="16"/>
      <color rgb="FF000000"/>
      <name val="Arial"/>
    </font>
    <font>
      <sz val="14"/>
      <color rgb="FF000000"/>
      <name val="Arial"/>
    </font>
    <font>
      <i/>
      <sz val="14"/>
      <color rgb="FF000000"/>
      <name val="Arial"/>
    </font>
    <font>
      <b/>
      <i/>
      <sz val="14"/>
      <color rgb="FF000000"/>
      <name val="Arial"/>
    </font>
    <font>
      <sz val="10"/>
      <name val="Arial"/>
    </font>
    <font>
      <sz val="14"/>
      <name val="Arial"/>
    </font>
    <font>
      <sz val="14"/>
      <name val="Calibri"/>
    </font>
    <font>
      <b/>
      <sz val="14"/>
      <color rgb="FF000000"/>
      <name val="Calibri"/>
    </font>
    <font>
      <b/>
      <sz val="14"/>
      <name val="Calibri"/>
    </font>
    <font>
      <i/>
      <sz val="14"/>
      <color rgb="FF000000"/>
      <name val="Calibri"/>
    </font>
    <font>
      <sz val="14"/>
      <color rgb="FF000000"/>
      <name val="Calibri"/>
    </font>
    <font>
      <b/>
      <sz val="14"/>
      <name val="Arial"/>
    </font>
    <font>
      <u/>
      <sz val="10"/>
      <color theme="10"/>
      <name val="Arial"/>
    </font>
    <font>
      <u/>
      <sz val="10"/>
      <color theme="11"/>
      <name val="Arial"/>
    </font>
    <font>
      <sz val="14"/>
      <color theme="1"/>
      <name val="Arial"/>
    </font>
    <font>
      <b/>
      <sz val="14"/>
      <color theme="1"/>
      <name val="Arial"/>
    </font>
    <font>
      <i/>
      <sz val="14"/>
      <color theme="1"/>
      <name val="Arial"/>
    </font>
    <font>
      <b/>
      <i/>
      <sz val="14"/>
      <name val="Arial"/>
    </font>
    <font>
      <b/>
      <sz val="14"/>
      <name val="Calibri"/>
      <family val="2"/>
    </font>
    <font>
      <b/>
      <sz val="14"/>
      <color rgb="FF000000"/>
      <name val="Arial"/>
      <family val="2"/>
    </font>
    <font>
      <i/>
      <sz val="14"/>
      <color rgb="FF000000"/>
      <name val="Arial"/>
      <family val="2"/>
    </font>
    <font>
      <sz val="14"/>
      <name val="Arial"/>
      <family val="2"/>
    </font>
    <font>
      <sz val="14"/>
      <color rgb="FF000000"/>
      <name val="Calibri"/>
      <family val="2"/>
    </font>
  </fonts>
  <fills count="10">
    <fill>
      <patternFill patternType="none"/>
    </fill>
    <fill>
      <patternFill patternType="gray125"/>
    </fill>
    <fill>
      <patternFill patternType="solid">
        <fgColor rgb="FFBFBFBF"/>
        <bgColor rgb="FFBFBFBF"/>
      </patternFill>
    </fill>
    <fill>
      <patternFill patternType="solid">
        <fgColor rgb="FFD8D8D8"/>
        <bgColor rgb="FFD8D8D8"/>
      </patternFill>
    </fill>
    <fill>
      <patternFill patternType="solid">
        <fgColor rgb="FFFFFDD6"/>
        <bgColor indexed="64"/>
      </patternFill>
    </fill>
    <fill>
      <patternFill patternType="solid">
        <fgColor rgb="FFFFFDD6"/>
        <bgColor rgb="FFFFFF99"/>
      </patternFill>
    </fill>
    <fill>
      <patternFill patternType="solid">
        <fgColor theme="0" tint="-0.14999847407452621"/>
        <bgColor rgb="FFBFBFBF"/>
      </patternFill>
    </fill>
    <fill>
      <patternFill patternType="solid">
        <fgColor theme="0" tint="-0.14999847407452621"/>
        <bgColor indexed="64"/>
      </patternFill>
    </fill>
    <fill>
      <patternFill patternType="solid">
        <fgColor theme="0" tint="-0.14999847407452621"/>
        <bgColor rgb="FFA5A5A5"/>
      </patternFill>
    </fill>
    <fill>
      <patternFill patternType="solid">
        <fgColor rgb="FFFFFF00"/>
        <bgColor indexed="64"/>
      </patternFill>
    </fill>
  </fills>
  <borders count="36">
    <border>
      <left/>
      <right/>
      <top/>
      <bottom/>
      <diagonal/>
    </border>
    <border>
      <left/>
      <right/>
      <top/>
      <bottom/>
      <diagonal/>
    </border>
    <border>
      <left/>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diagonal/>
    </border>
    <border>
      <left/>
      <right/>
      <top/>
      <bottom style="thin">
        <color rgb="FF000000"/>
      </bottom>
      <diagonal/>
    </border>
    <border>
      <left/>
      <right/>
      <top/>
      <bottom/>
      <diagonal/>
    </border>
    <border>
      <left/>
      <right style="medium">
        <color rgb="FF000000"/>
      </right>
      <top/>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right style="thin">
        <color rgb="FF000000"/>
      </right>
      <top/>
      <bottom style="medium">
        <color rgb="FF000000"/>
      </bottom>
      <diagonal/>
    </border>
    <border>
      <left/>
      <right/>
      <top/>
      <bottom/>
      <diagonal/>
    </border>
    <border>
      <left/>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top style="medium">
        <color rgb="FF000000"/>
      </top>
      <bottom style="medium">
        <color auto="1"/>
      </bottom>
      <diagonal/>
    </border>
    <border>
      <left/>
      <right/>
      <top style="medium">
        <color rgb="FF000000"/>
      </top>
      <bottom style="medium">
        <color auto="1"/>
      </bottom>
      <diagonal/>
    </border>
    <border>
      <left/>
      <right style="medium">
        <color rgb="FF000000"/>
      </right>
      <top style="medium">
        <color rgb="FF000000"/>
      </top>
      <bottom style="medium">
        <color auto="1"/>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s>
  <cellStyleXfs count="7">
    <xf numFmtId="0" fontId="0" fillId="0" borderId="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401">
    <xf numFmtId="0" fontId="0" fillId="0" borderId="0" xfId="0"/>
    <xf numFmtId="0" fontId="2" fillId="0" borderId="1" xfId="0" applyFont="1" applyBorder="1"/>
    <xf numFmtId="0" fontId="3" fillId="0" borderId="0" xfId="0" applyFont="1"/>
    <xf numFmtId="0" fontId="4" fillId="0" borderId="1" xfId="0" applyFont="1" applyBorder="1"/>
    <xf numFmtId="0" fontId="4" fillId="0" borderId="0" xfId="0" applyFont="1"/>
    <xf numFmtId="0" fontId="5" fillId="0" borderId="1" xfId="0" applyFont="1" applyBorder="1"/>
    <xf numFmtId="0" fontId="4" fillId="0" borderId="2" xfId="0" applyFont="1" applyBorder="1"/>
    <xf numFmtId="0" fontId="3" fillId="0" borderId="1" xfId="0" applyFont="1" applyBorder="1"/>
    <xf numFmtId="0" fontId="6" fillId="0" borderId="1" xfId="0" applyFont="1" applyBorder="1"/>
    <xf numFmtId="0" fontId="4" fillId="0" borderId="5" xfId="0" applyFont="1" applyBorder="1"/>
    <xf numFmtId="0" fontId="2" fillId="0" borderId="0" xfId="0" applyFont="1"/>
    <xf numFmtId="0" fontId="8" fillId="0" borderId="0" xfId="0" applyFont="1"/>
    <xf numFmtId="0" fontId="9" fillId="0" borderId="1" xfId="0" applyFont="1" applyBorder="1"/>
    <xf numFmtId="0" fontId="9" fillId="0" borderId="6" xfId="0" applyFont="1" applyBorder="1"/>
    <xf numFmtId="0" fontId="3" fillId="0" borderId="6" xfId="0" applyFont="1" applyBorder="1"/>
    <xf numFmtId="0" fontId="11" fillId="0" borderId="0" xfId="0" applyFont="1"/>
    <xf numFmtId="0" fontId="12" fillId="0" borderId="0" xfId="0" applyFont="1"/>
    <xf numFmtId="0" fontId="12" fillId="0" borderId="5" xfId="0" applyFont="1" applyBorder="1"/>
    <xf numFmtId="0" fontId="13" fillId="0" borderId="0" xfId="0" applyFont="1"/>
    <xf numFmtId="0" fontId="7" fillId="0" borderId="1" xfId="0" applyFont="1" applyBorder="1"/>
    <xf numFmtId="0" fontId="4" fillId="0" borderId="9" xfId="0" applyFont="1" applyBorder="1"/>
    <xf numFmtId="0" fontId="15" fillId="0" borderId="0" xfId="0" applyFont="1"/>
    <xf numFmtId="0" fontId="2" fillId="0" borderId="2" xfId="0" applyFont="1" applyBorder="1"/>
    <xf numFmtId="0" fontId="2" fillId="2" borderId="3" xfId="0" applyFont="1" applyFill="1" applyBorder="1"/>
    <xf numFmtId="0" fontId="4" fillId="2" borderId="4" xfId="0" applyFont="1" applyFill="1" applyBorder="1"/>
    <xf numFmtId="2" fontId="12" fillId="0" borderId="0" xfId="0" applyNumberFormat="1" applyFont="1" applyAlignment="1">
      <alignment horizontal="right"/>
    </xf>
    <xf numFmtId="2" fontId="12" fillId="0" borderId="5" xfId="0" applyNumberFormat="1" applyFont="1" applyBorder="1" applyAlignment="1">
      <alignment horizontal="right"/>
    </xf>
    <xf numFmtId="6" fontId="16" fillId="0" borderId="5" xfId="0" applyNumberFormat="1" applyFont="1" applyBorder="1" applyAlignment="1">
      <alignment horizontal="right"/>
    </xf>
    <xf numFmtId="9" fontId="12" fillId="0" borderId="5" xfId="0" applyNumberFormat="1" applyFont="1" applyBorder="1"/>
    <xf numFmtId="0" fontId="2" fillId="0" borderId="5" xfId="0" applyFont="1" applyBorder="1"/>
    <xf numFmtId="0" fontId="12" fillId="0" borderId="2" xfId="0" applyFont="1" applyBorder="1"/>
    <xf numFmtId="0" fontId="7" fillId="0" borderId="0" xfId="0" applyFont="1" applyAlignment="1">
      <alignment horizontal="right"/>
    </xf>
    <xf numFmtId="0" fontId="12" fillId="0" borderId="9" xfId="0" applyFont="1" applyBorder="1"/>
    <xf numFmtId="0" fontId="2" fillId="0" borderId="13" xfId="0" applyFont="1" applyBorder="1"/>
    <xf numFmtId="0" fontId="4" fillId="0" borderId="13" xfId="0" applyFont="1" applyBorder="1"/>
    <xf numFmtId="0" fontId="4" fillId="3" borderId="14" xfId="0" applyFont="1" applyFill="1" applyBorder="1"/>
    <xf numFmtId="0" fontId="4" fillId="3" borderId="7" xfId="0" applyFont="1" applyFill="1" applyBorder="1"/>
    <xf numFmtId="2" fontId="7" fillId="0" borderId="0" xfId="0" applyNumberFormat="1" applyFont="1" applyAlignment="1">
      <alignment horizontal="right"/>
    </xf>
    <xf numFmtId="2" fontId="4" fillId="0" borderId="13" xfId="0" applyNumberFormat="1" applyFont="1" applyBorder="1"/>
    <xf numFmtId="2" fontId="4" fillId="0" borderId="2" xfId="0" applyNumberFormat="1" applyFont="1" applyBorder="1"/>
    <xf numFmtId="2" fontId="7" fillId="0" borderId="9" xfId="0" applyNumberFormat="1" applyFont="1" applyBorder="1" applyAlignment="1">
      <alignment horizontal="right"/>
    </xf>
    <xf numFmtId="2" fontId="4" fillId="0" borderId="0" xfId="0" applyNumberFormat="1" applyFont="1" applyAlignment="1">
      <alignment horizontal="right"/>
    </xf>
    <xf numFmtId="2" fontId="4" fillId="0" borderId="2" xfId="0" applyNumberFormat="1" applyFont="1" applyBorder="1" applyAlignment="1">
      <alignment horizontal="right"/>
    </xf>
    <xf numFmtId="2" fontId="4" fillId="0" borderId="9" xfId="0" applyNumberFormat="1" applyFont="1" applyBorder="1" applyAlignment="1">
      <alignment horizontal="right"/>
    </xf>
    <xf numFmtId="2" fontId="17" fillId="0" borderId="2" xfId="0" applyNumberFormat="1" applyFont="1" applyBorder="1" applyAlignment="1">
      <alignment horizontal="right"/>
    </xf>
    <xf numFmtId="2" fontId="17" fillId="0" borderId="9" xfId="0" applyNumberFormat="1" applyFont="1" applyBorder="1" applyAlignment="1">
      <alignment horizontal="right"/>
    </xf>
    <xf numFmtId="0" fontId="7" fillId="0" borderId="0" xfId="0" applyFont="1"/>
    <xf numFmtId="0" fontId="7" fillId="0" borderId="14" xfId="0" applyFont="1" applyBorder="1"/>
    <xf numFmtId="3" fontId="4" fillId="0" borderId="15" xfId="0" applyNumberFormat="1" applyFont="1" applyBorder="1"/>
    <xf numFmtId="0" fontId="4" fillId="0" borderId="15" xfId="0" applyFont="1" applyBorder="1"/>
    <xf numFmtId="9" fontId="4" fillId="0" borderId="15" xfId="0" applyNumberFormat="1" applyFont="1" applyBorder="1"/>
    <xf numFmtId="0" fontId="4" fillId="0" borderId="14" xfId="0" applyFont="1" applyBorder="1"/>
    <xf numFmtId="0" fontId="4" fillId="0" borderId="18" xfId="0" applyFont="1" applyBorder="1"/>
    <xf numFmtId="0" fontId="4" fillId="0" borderId="19" xfId="0" applyFont="1" applyBorder="1"/>
    <xf numFmtId="0" fontId="8" fillId="0" borderId="15" xfId="0" applyFont="1" applyBorder="1"/>
    <xf numFmtId="0" fontId="8" fillId="0" borderId="14" xfId="0" applyFont="1" applyBorder="1"/>
    <xf numFmtId="0" fontId="8" fillId="0" borderId="20" xfId="0" applyFont="1" applyBorder="1"/>
    <xf numFmtId="0" fontId="4" fillId="0" borderId="20" xfId="0" applyFont="1" applyBorder="1"/>
    <xf numFmtId="4" fontId="7" fillId="0" borderId="15" xfId="0" applyNumberFormat="1" applyFont="1" applyBorder="1" applyAlignment="1">
      <alignment horizontal="right"/>
    </xf>
    <xf numFmtId="4" fontId="7" fillId="0" borderId="14" xfId="0" applyNumberFormat="1" applyFont="1" applyBorder="1" applyAlignment="1">
      <alignment horizontal="right"/>
    </xf>
    <xf numFmtId="4" fontId="7" fillId="0" borderId="20" xfId="0" applyNumberFormat="1" applyFont="1" applyBorder="1" applyAlignment="1">
      <alignment horizontal="right"/>
    </xf>
    <xf numFmtId="164" fontId="7" fillId="0" borderId="15" xfId="0" applyNumberFormat="1" applyFont="1" applyBorder="1" applyAlignment="1">
      <alignment horizontal="right"/>
    </xf>
    <xf numFmtId="164" fontId="7" fillId="0" borderId="14" xfId="0" applyNumberFormat="1" applyFont="1" applyBorder="1" applyAlignment="1">
      <alignment horizontal="right"/>
    </xf>
    <xf numFmtId="164" fontId="7" fillId="0" borderId="20" xfId="0" applyNumberFormat="1" applyFont="1" applyBorder="1" applyAlignment="1">
      <alignment horizontal="right"/>
    </xf>
    <xf numFmtId="1" fontId="7" fillId="0" borderId="15" xfId="0" applyNumberFormat="1" applyFont="1" applyBorder="1" applyAlignment="1">
      <alignment horizontal="right"/>
    </xf>
    <xf numFmtId="1" fontId="7" fillId="0" borderId="14" xfId="0" applyNumberFormat="1" applyFont="1" applyBorder="1" applyAlignment="1">
      <alignment horizontal="right"/>
    </xf>
    <xf numFmtId="1" fontId="7" fillId="0" borderId="20" xfId="0" applyNumberFormat="1" applyFont="1" applyBorder="1" applyAlignment="1">
      <alignment horizontal="right"/>
    </xf>
    <xf numFmtId="0" fontId="4" fillId="0" borderId="21" xfId="0" applyFont="1" applyBorder="1"/>
    <xf numFmtId="0" fontId="4" fillId="0" borderId="22" xfId="0" applyFont="1" applyBorder="1"/>
    <xf numFmtId="0" fontId="4" fillId="0" borderId="23" xfId="0" applyFont="1" applyBorder="1"/>
    <xf numFmtId="0" fontId="7" fillId="0" borderId="14" xfId="0" applyFont="1" applyBorder="1" applyAlignment="1">
      <alignment horizontal="right"/>
    </xf>
    <xf numFmtId="9" fontId="4" fillId="0" borderId="14" xfId="0" applyNumberFormat="1" applyFont="1" applyBorder="1"/>
    <xf numFmtId="9" fontId="4" fillId="0" borderId="20" xfId="0" applyNumberFormat="1" applyFont="1" applyBorder="1"/>
    <xf numFmtId="2" fontId="7" fillId="0" borderId="25" xfId="0" applyNumberFormat="1" applyFont="1" applyBorder="1" applyAlignment="1">
      <alignment horizontal="right"/>
    </xf>
    <xf numFmtId="2" fontId="7" fillId="0" borderId="26" xfId="0" applyNumberFormat="1" applyFont="1" applyBorder="1" applyAlignment="1">
      <alignment horizontal="right"/>
    </xf>
    <xf numFmtId="0" fontId="7" fillId="0" borderId="25" xfId="0" applyFont="1" applyBorder="1" applyAlignment="1">
      <alignment horizontal="right"/>
    </xf>
    <xf numFmtId="0" fontId="7" fillId="0" borderId="26" xfId="0" applyFont="1" applyBorder="1" applyAlignment="1">
      <alignment horizontal="right"/>
    </xf>
    <xf numFmtId="0" fontId="8" fillId="0" borderId="17" xfId="0" applyFont="1" applyBorder="1"/>
    <xf numFmtId="0" fontId="8" fillId="0" borderId="18" xfId="0" applyFont="1" applyBorder="1"/>
    <xf numFmtId="0" fontId="8" fillId="0" borderId="19" xfId="0" applyFont="1" applyBorder="1"/>
    <xf numFmtId="0" fontId="7" fillId="0" borderId="15" xfId="0" applyFont="1" applyBorder="1" applyAlignment="1">
      <alignment horizontal="right"/>
    </xf>
    <xf numFmtId="0" fontId="7" fillId="0" borderId="20" xfId="0" applyFont="1" applyBorder="1" applyAlignment="1">
      <alignment horizontal="right"/>
    </xf>
    <xf numFmtId="2" fontId="7" fillId="0" borderId="21" xfId="0" applyNumberFormat="1" applyFont="1" applyBorder="1" applyAlignment="1">
      <alignment horizontal="right"/>
    </xf>
    <xf numFmtId="2" fontId="7" fillId="0" borderId="22" xfId="0" applyNumberFormat="1" applyFont="1" applyBorder="1" applyAlignment="1">
      <alignment horizontal="right"/>
    </xf>
    <xf numFmtId="2" fontId="7" fillId="0" borderId="23" xfId="0" applyNumberFormat="1" applyFont="1" applyBorder="1" applyAlignment="1">
      <alignment horizontal="right"/>
    </xf>
    <xf numFmtId="0" fontId="4" fillId="0" borderId="17" xfId="0" applyFont="1" applyBorder="1"/>
    <xf numFmtId="0" fontId="8" fillId="0" borderId="27" xfId="0" applyFont="1" applyBorder="1"/>
    <xf numFmtId="0" fontId="8" fillId="0" borderId="28" xfId="0" applyFont="1" applyBorder="1"/>
    <xf numFmtId="0" fontId="8" fillId="0" borderId="29" xfId="0" applyFont="1" applyBorder="1"/>
    <xf numFmtId="0" fontId="17" fillId="0" borderId="0" xfId="0" applyFont="1"/>
    <xf numFmtId="0" fontId="4" fillId="0" borderId="28" xfId="0" applyFont="1" applyBorder="1"/>
    <xf numFmtId="0" fontId="4" fillId="0" borderId="29" xfId="0" applyFont="1" applyBorder="1"/>
    <xf numFmtId="0" fontId="7" fillId="0" borderId="0" xfId="0" applyFont="1" applyAlignment="1">
      <alignment horizontal="left"/>
    </xf>
    <xf numFmtId="2" fontId="7" fillId="0" borderId="14" xfId="0" applyNumberFormat="1" applyFont="1" applyBorder="1" applyAlignment="1">
      <alignment horizontal="right"/>
    </xf>
    <xf numFmtId="2" fontId="7" fillId="0" borderId="20" xfId="0" applyNumberFormat="1" applyFont="1" applyBorder="1" applyAlignment="1">
      <alignment horizontal="right"/>
    </xf>
    <xf numFmtId="2" fontId="4" fillId="0" borderId="23" xfId="0" applyNumberFormat="1" applyFont="1" applyBorder="1"/>
    <xf numFmtId="3" fontId="4" fillId="0" borderId="17" xfId="0" applyNumberFormat="1" applyFont="1" applyBorder="1"/>
    <xf numFmtId="0" fontId="7" fillId="0" borderId="18" xfId="0" applyFont="1" applyBorder="1" applyAlignment="1">
      <alignment horizontal="right"/>
    </xf>
    <xf numFmtId="2" fontId="7" fillId="0" borderId="15" xfId="0" applyNumberFormat="1" applyFont="1" applyBorder="1" applyAlignment="1">
      <alignment horizontal="right"/>
    </xf>
    <xf numFmtId="0" fontId="4" fillId="0" borderId="0" xfId="0" applyFont="1" applyAlignment="1">
      <alignment horizontal="left"/>
    </xf>
    <xf numFmtId="0" fontId="0" fillId="0" borderId="15" xfId="0" applyBorder="1"/>
    <xf numFmtId="0" fontId="0" fillId="0" borderId="14" xfId="0" applyBorder="1"/>
    <xf numFmtId="0" fontId="0" fillId="0" borderId="20" xfId="0" applyBorder="1"/>
    <xf numFmtId="0" fontId="7" fillId="0" borderId="14" xfId="0" applyFont="1" applyBorder="1" applyAlignment="1">
      <alignment horizontal="left"/>
    </xf>
    <xf numFmtId="2" fontId="21" fillId="0" borderId="2" xfId="0" applyNumberFormat="1" applyFont="1" applyBorder="1" applyAlignment="1">
      <alignment horizontal="right"/>
    </xf>
    <xf numFmtId="2" fontId="21" fillId="0" borderId="9" xfId="0" applyNumberFormat="1" applyFont="1" applyBorder="1" applyAlignment="1">
      <alignment horizontal="right"/>
    </xf>
    <xf numFmtId="2" fontId="20" fillId="0" borderId="0" xfId="0" applyNumberFormat="1" applyFont="1" applyAlignment="1">
      <alignment horizontal="right"/>
    </xf>
    <xf numFmtId="2" fontId="20" fillId="0" borderId="5" xfId="0" applyNumberFormat="1" applyFont="1" applyBorder="1" applyAlignment="1">
      <alignment horizontal="right"/>
    </xf>
    <xf numFmtId="2" fontId="20" fillId="0" borderId="2" xfId="0" applyNumberFormat="1" applyFont="1" applyBorder="1" applyAlignment="1">
      <alignment horizontal="right"/>
    </xf>
    <xf numFmtId="2" fontId="20" fillId="0" borderId="9" xfId="0" applyNumberFormat="1" applyFont="1" applyBorder="1" applyAlignment="1">
      <alignment horizontal="right"/>
    </xf>
    <xf numFmtId="2" fontId="20" fillId="4" borderId="15" xfId="0" applyNumberFormat="1" applyFont="1" applyFill="1" applyBorder="1" applyAlignment="1">
      <alignment horizontal="right"/>
    </xf>
    <xf numFmtId="2" fontId="20" fillId="4" borderId="14" xfId="0" applyNumberFormat="1" applyFont="1" applyFill="1" applyBorder="1" applyAlignment="1">
      <alignment horizontal="right"/>
    </xf>
    <xf numFmtId="2" fontId="20" fillId="4" borderId="20" xfId="0" applyNumberFormat="1" applyFont="1" applyFill="1" applyBorder="1" applyAlignment="1">
      <alignment horizontal="right"/>
    </xf>
    <xf numFmtId="2" fontId="20" fillId="4" borderId="21" xfId="0" applyNumberFormat="1" applyFont="1" applyFill="1" applyBorder="1" applyAlignment="1">
      <alignment horizontal="right"/>
    </xf>
    <xf numFmtId="2" fontId="20" fillId="4" borderId="22" xfId="0" applyNumberFormat="1" applyFont="1" applyFill="1" applyBorder="1" applyAlignment="1">
      <alignment horizontal="right"/>
    </xf>
    <xf numFmtId="2" fontId="20" fillId="4" borderId="23" xfId="0" applyNumberFormat="1" applyFont="1" applyFill="1" applyBorder="1" applyAlignment="1">
      <alignment horizontal="right"/>
    </xf>
    <xf numFmtId="2" fontId="21" fillId="4" borderId="2" xfId="0" applyNumberFormat="1" applyFont="1" applyFill="1" applyBorder="1" applyAlignment="1">
      <alignment horizontal="right"/>
    </xf>
    <xf numFmtId="2" fontId="21" fillId="4" borderId="9" xfId="0" applyNumberFormat="1" applyFont="1" applyFill="1" applyBorder="1" applyAlignment="1">
      <alignment horizontal="right"/>
    </xf>
    <xf numFmtId="0" fontId="4" fillId="5" borderId="8" xfId="0" applyFont="1" applyFill="1" applyBorder="1"/>
    <xf numFmtId="0" fontId="4" fillId="5" borderId="9" xfId="0" applyFont="1" applyFill="1" applyBorder="1"/>
    <xf numFmtId="0" fontId="2" fillId="5" borderId="7" xfId="0" applyFont="1" applyFill="1" applyBorder="1"/>
    <xf numFmtId="2" fontId="7" fillId="5" borderId="11" xfId="0" applyNumberFormat="1" applyFont="1" applyFill="1" applyBorder="1" applyAlignment="1">
      <alignment horizontal="right"/>
    </xf>
    <xf numFmtId="2" fontId="7" fillId="5" borderId="10" xfId="0" applyNumberFormat="1" applyFont="1" applyFill="1" applyBorder="1" applyAlignment="1">
      <alignment horizontal="right"/>
    </xf>
    <xf numFmtId="2" fontId="7" fillId="5" borderId="12" xfId="0" applyNumberFormat="1" applyFont="1" applyFill="1" applyBorder="1" applyAlignment="1">
      <alignment horizontal="right"/>
    </xf>
    <xf numFmtId="2" fontId="7" fillId="5" borderId="9" xfId="0" applyNumberFormat="1" applyFont="1" applyFill="1" applyBorder="1" applyAlignment="1">
      <alignment horizontal="right"/>
    </xf>
    <xf numFmtId="2" fontId="7" fillId="5" borderId="4" xfId="0" applyNumberFormat="1" applyFont="1" applyFill="1" applyBorder="1" applyAlignment="1">
      <alignment horizontal="right"/>
    </xf>
    <xf numFmtId="0" fontId="2" fillId="0" borderId="7" xfId="0" applyFont="1" applyBorder="1"/>
    <xf numFmtId="2" fontId="4" fillId="5" borderId="7" xfId="0" applyNumberFormat="1" applyFont="1" applyFill="1" applyBorder="1"/>
    <xf numFmtId="2" fontId="4" fillId="5" borderId="8" xfId="0" applyNumberFormat="1" applyFont="1" applyFill="1" applyBorder="1"/>
    <xf numFmtId="2" fontId="4" fillId="5" borderId="4" xfId="0" applyNumberFormat="1" applyFont="1" applyFill="1" applyBorder="1"/>
    <xf numFmtId="2" fontId="4" fillId="5" borderId="9" xfId="0" applyNumberFormat="1" applyFont="1" applyFill="1" applyBorder="1"/>
    <xf numFmtId="0" fontId="20" fillId="0" borderId="0" xfId="0" applyFont="1" applyAlignment="1">
      <alignment horizontal="right"/>
    </xf>
    <xf numFmtId="0" fontId="20" fillId="0" borderId="5" xfId="0" applyFont="1" applyBorder="1" applyAlignment="1">
      <alignment horizontal="right"/>
    </xf>
    <xf numFmtId="6" fontId="20" fillId="0" borderId="5" xfId="0" applyNumberFormat="1" applyFont="1" applyBorder="1" applyAlignment="1">
      <alignment horizontal="right"/>
    </xf>
    <xf numFmtId="9" fontId="20" fillId="0" borderId="5" xfId="0" applyNumberFormat="1" applyFont="1" applyBorder="1"/>
    <xf numFmtId="0" fontId="20" fillId="0" borderId="2" xfId="0" applyFont="1" applyBorder="1" applyAlignment="1">
      <alignment horizontal="right"/>
    </xf>
    <xf numFmtId="0" fontId="20" fillId="0" borderId="9" xfId="0" applyFont="1" applyBorder="1" applyAlignment="1">
      <alignment horizontal="right"/>
    </xf>
    <xf numFmtId="0" fontId="20" fillId="0" borderId="15" xfId="0" applyFont="1" applyBorder="1" applyAlignment="1">
      <alignment horizontal="right"/>
    </xf>
    <xf numFmtId="0" fontId="20" fillId="0" borderId="14" xfId="0" applyFont="1" applyBorder="1" applyAlignment="1">
      <alignment horizontal="right"/>
    </xf>
    <xf numFmtId="0" fontId="20" fillId="0" borderId="20" xfId="0" applyFont="1" applyBorder="1" applyAlignment="1">
      <alignment horizontal="right"/>
    </xf>
    <xf numFmtId="3" fontId="20" fillId="0" borderId="15" xfId="0" applyNumberFormat="1" applyFont="1" applyBorder="1" applyAlignment="1">
      <alignment horizontal="right"/>
    </xf>
    <xf numFmtId="9" fontId="20" fillId="0" borderId="15" xfId="0" applyNumberFormat="1" applyFont="1" applyBorder="1" applyAlignment="1">
      <alignment horizontal="right"/>
    </xf>
    <xf numFmtId="9" fontId="20" fillId="0" borderId="14" xfId="0" applyNumberFormat="1" applyFont="1" applyBorder="1" applyAlignment="1">
      <alignment horizontal="right"/>
    </xf>
    <xf numFmtId="9" fontId="20" fillId="0" borderId="20" xfId="0" applyNumberFormat="1" applyFont="1" applyBorder="1"/>
    <xf numFmtId="0" fontId="20" fillId="0" borderId="21" xfId="0" applyFont="1" applyBorder="1" applyAlignment="1">
      <alignment horizontal="right"/>
    </xf>
    <xf numFmtId="0" fontId="20" fillId="0" borderId="22" xfId="0" applyFont="1" applyBorder="1" applyAlignment="1">
      <alignment horizontal="right"/>
    </xf>
    <xf numFmtId="0" fontId="20" fillId="0" borderId="23" xfId="0" applyFont="1" applyBorder="1" applyAlignment="1">
      <alignment horizontal="right"/>
    </xf>
    <xf numFmtId="0" fontId="22" fillId="0" borderId="27" xfId="0" applyFont="1" applyBorder="1"/>
    <xf numFmtId="0" fontId="22" fillId="0" borderId="28" xfId="0" applyFont="1" applyBorder="1"/>
    <xf numFmtId="0" fontId="22" fillId="0" borderId="29" xfId="0" applyFont="1" applyBorder="1"/>
    <xf numFmtId="0" fontId="2" fillId="0" borderId="27" xfId="0" applyFont="1" applyBorder="1"/>
    <xf numFmtId="0" fontId="17" fillId="0" borderId="28" xfId="0" applyFont="1" applyBorder="1"/>
    <xf numFmtId="0" fontId="2" fillId="0" borderId="16" xfId="0" applyFont="1" applyBorder="1"/>
    <xf numFmtId="0" fontId="2" fillId="0" borderId="16"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17" fillId="3" borderId="14" xfId="0" applyFont="1" applyFill="1" applyBorder="1" applyAlignment="1">
      <alignment vertical="center"/>
    </xf>
    <xf numFmtId="0" fontId="8" fillId="0" borderId="21" xfId="0" applyFont="1" applyBorder="1"/>
    <xf numFmtId="0" fontId="8" fillId="0" borderId="22" xfId="0" applyFont="1" applyBorder="1"/>
    <xf numFmtId="0" fontId="8" fillId="0" borderId="23" xfId="0" applyFont="1" applyBorder="1"/>
    <xf numFmtId="0" fontId="10" fillId="0" borderId="20" xfId="0" applyFont="1" applyBorder="1"/>
    <xf numFmtId="0" fontId="10" fillId="0" borderId="14" xfId="0" applyFont="1" applyBorder="1"/>
    <xf numFmtId="0" fontId="22" fillId="4" borderId="27" xfId="0" applyFont="1" applyFill="1" applyBorder="1"/>
    <xf numFmtId="0" fontId="22" fillId="4" borderId="28" xfId="0" applyFont="1" applyFill="1" applyBorder="1"/>
    <xf numFmtId="0" fontId="22" fillId="4" borderId="29" xfId="0" applyFont="1" applyFill="1" applyBorder="1"/>
    <xf numFmtId="0" fontId="2" fillId="0" borderId="29" xfId="0" applyFont="1" applyBorder="1"/>
    <xf numFmtId="0" fontId="2" fillId="0" borderId="21" xfId="0" applyFont="1" applyBorder="1"/>
    <xf numFmtId="0" fontId="2" fillId="0" borderId="23" xfId="0" applyFont="1" applyBorder="1"/>
    <xf numFmtId="0" fontId="2" fillId="5" borderId="16" xfId="0" applyFont="1" applyFill="1" applyBorder="1"/>
    <xf numFmtId="0" fontId="4" fillId="0" borderId="33" xfId="0" applyFont="1" applyBorder="1"/>
    <xf numFmtId="0" fontId="2" fillId="6" borderId="3" xfId="0" applyFont="1" applyFill="1" applyBorder="1"/>
    <xf numFmtId="0" fontId="4" fillId="6" borderId="4" xfId="0" applyFont="1" applyFill="1" applyBorder="1"/>
    <xf numFmtId="0" fontId="0" fillId="7" borderId="0" xfId="0" applyFill="1"/>
    <xf numFmtId="0" fontId="2" fillId="8" borderId="3" xfId="0" applyFont="1" applyFill="1" applyBorder="1"/>
    <xf numFmtId="0" fontId="4" fillId="8" borderId="4" xfId="0" applyFont="1" applyFill="1" applyBorder="1"/>
    <xf numFmtId="0" fontId="2" fillId="0" borderId="22" xfId="0" applyFont="1" applyBorder="1"/>
    <xf numFmtId="0" fontId="17" fillId="0" borderId="17" xfId="0" applyFont="1" applyBorder="1"/>
    <xf numFmtId="2" fontId="4" fillId="0" borderId="15" xfId="0" applyNumberFormat="1" applyFont="1" applyBorder="1" applyAlignment="1">
      <alignment horizontal="right"/>
    </xf>
    <xf numFmtId="2" fontId="4" fillId="0" borderId="14" xfId="0" applyNumberFormat="1" applyFont="1" applyBorder="1" applyAlignment="1">
      <alignment horizontal="right"/>
    </xf>
    <xf numFmtId="2" fontId="4" fillId="0" borderId="20" xfId="0" applyNumberFormat="1" applyFont="1" applyBorder="1" applyAlignment="1">
      <alignment horizontal="right"/>
    </xf>
    <xf numFmtId="2" fontId="4" fillId="0" borderId="21" xfId="0" applyNumberFormat="1" applyFont="1" applyBorder="1" applyAlignment="1">
      <alignment horizontal="right"/>
    </xf>
    <xf numFmtId="2" fontId="4" fillId="0" borderId="22" xfId="0" applyNumberFormat="1" applyFont="1" applyBorder="1" applyAlignment="1">
      <alignment horizontal="right"/>
    </xf>
    <xf numFmtId="2" fontId="4" fillId="0" borderId="23" xfId="0" applyNumberFormat="1" applyFont="1" applyBorder="1" applyAlignment="1">
      <alignment horizontal="right"/>
    </xf>
    <xf numFmtId="2" fontId="7" fillId="0" borderId="24" xfId="0" applyNumberFormat="1" applyFont="1" applyBorder="1" applyAlignment="1">
      <alignment horizontal="right"/>
    </xf>
    <xf numFmtId="0" fontId="8" fillId="5" borderId="27" xfId="0" applyFont="1" applyFill="1" applyBorder="1"/>
    <xf numFmtId="0" fontId="8" fillId="5" borderId="28" xfId="0" applyFont="1" applyFill="1" applyBorder="1"/>
    <xf numFmtId="0" fontId="8" fillId="5" borderId="29" xfId="0" applyFont="1" applyFill="1" applyBorder="1"/>
    <xf numFmtId="2" fontId="4" fillId="0" borderId="4" xfId="0" applyNumberFormat="1" applyFont="1" applyBorder="1" applyAlignment="1">
      <alignment horizontal="right"/>
    </xf>
    <xf numFmtId="0" fontId="17" fillId="3" borderId="14" xfId="0" applyFont="1" applyFill="1" applyBorder="1" applyAlignment="1">
      <alignment horizontal="left" vertical="center"/>
    </xf>
    <xf numFmtId="2" fontId="7" fillId="0" borderId="27" xfId="0" applyNumberFormat="1" applyFont="1" applyBorder="1" applyAlignment="1">
      <alignment horizontal="right"/>
    </xf>
    <xf numFmtId="2" fontId="7" fillId="0" borderId="28" xfId="0" applyNumberFormat="1" applyFont="1" applyBorder="1" applyAlignment="1">
      <alignment horizontal="right"/>
    </xf>
    <xf numFmtId="2" fontId="7" fillId="0" borderId="29" xfId="0" applyNumberFormat="1" applyFont="1" applyBorder="1" applyAlignment="1">
      <alignment horizontal="right"/>
    </xf>
    <xf numFmtId="0" fontId="4" fillId="3" borderId="7" xfId="0" applyFont="1" applyFill="1" applyBorder="1" applyAlignment="1">
      <alignment horizontal="right"/>
    </xf>
    <xf numFmtId="0" fontId="17" fillId="0" borderId="0" xfId="0" applyFont="1" applyAlignment="1">
      <alignment horizontal="right"/>
    </xf>
    <xf numFmtId="0" fontId="4" fillId="0" borderId="14" xfId="0" applyFont="1" applyBorder="1" applyAlignment="1">
      <alignment vertical="center"/>
    </xf>
    <xf numFmtId="0" fontId="2" fillId="0" borderId="0" xfId="0" applyFont="1" applyAlignment="1">
      <alignment horizontal="center" wrapText="1"/>
    </xf>
    <xf numFmtId="0" fontId="2" fillId="0" borderId="17" xfId="0" applyFont="1" applyBorder="1" applyAlignment="1">
      <alignment horizontal="center" wrapText="1"/>
    </xf>
    <xf numFmtId="0" fontId="7" fillId="0" borderId="21" xfId="0" applyFont="1" applyBorder="1" applyAlignment="1">
      <alignment horizontal="right"/>
    </xf>
    <xf numFmtId="0" fontId="7" fillId="0" borderId="17" xfId="0" applyFont="1" applyBorder="1" applyAlignment="1">
      <alignment horizontal="right"/>
    </xf>
    <xf numFmtId="0" fontId="4" fillId="0" borderId="8" xfId="0" applyFont="1" applyBorder="1"/>
    <xf numFmtId="0" fontId="4" fillId="0" borderId="15" xfId="0" applyFont="1" applyBorder="1" applyAlignment="1">
      <alignment horizontal="center"/>
    </xf>
    <xf numFmtId="0" fontId="4" fillId="0" borderId="20" xfId="0" applyFont="1" applyBorder="1" applyAlignment="1">
      <alignment horizontal="center"/>
    </xf>
    <xf numFmtId="4" fontId="7" fillId="0" borderId="20" xfId="0" applyNumberFormat="1" applyFont="1" applyBorder="1" applyAlignment="1">
      <alignment horizontal="center"/>
    </xf>
    <xf numFmtId="164" fontId="7" fillId="0" borderId="15" xfId="0" applyNumberFormat="1" applyFont="1" applyBorder="1" applyAlignment="1">
      <alignment horizontal="center"/>
    </xf>
    <xf numFmtId="164" fontId="7" fillId="0" borderId="20" xfId="0" applyNumberFormat="1" applyFont="1" applyBorder="1" applyAlignment="1">
      <alignment horizontal="center"/>
    </xf>
    <xf numFmtId="9" fontId="4" fillId="0" borderId="20" xfId="0" applyNumberFormat="1" applyFont="1" applyBorder="1" applyAlignment="1">
      <alignment horizontal="center"/>
    </xf>
    <xf numFmtId="0" fontId="4" fillId="0" borderId="21" xfId="0" applyFont="1" applyBorder="1" applyAlignment="1">
      <alignment horizontal="center"/>
    </xf>
    <xf numFmtId="0" fontId="4" fillId="0" borderId="23" xfId="0" applyFont="1" applyBorder="1" applyAlignment="1">
      <alignment horizontal="center"/>
    </xf>
    <xf numFmtId="0" fontId="12" fillId="0" borderId="14" xfId="0" applyFont="1" applyBorder="1"/>
    <xf numFmtId="0" fontId="16" fillId="0" borderId="14" xfId="0" applyFont="1" applyBorder="1" applyAlignment="1">
      <alignment horizontal="right"/>
    </xf>
    <xf numFmtId="0" fontId="16" fillId="0" borderId="4" xfId="0" applyFont="1" applyBorder="1" applyAlignment="1">
      <alignment horizontal="right"/>
    </xf>
    <xf numFmtId="2" fontId="16" fillId="0" borderId="21" xfId="0" applyNumberFormat="1" applyFont="1" applyBorder="1" applyAlignment="1">
      <alignment horizontal="right"/>
    </xf>
    <xf numFmtId="2" fontId="16" fillId="0" borderId="22" xfId="0" applyNumberFormat="1" applyFont="1" applyBorder="1" applyAlignment="1">
      <alignment horizontal="right"/>
    </xf>
    <xf numFmtId="2" fontId="16" fillId="0" borderId="23" xfId="0" applyNumberFormat="1" applyFont="1" applyBorder="1" applyAlignment="1">
      <alignment horizontal="right"/>
    </xf>
    <xf numFmtId="2" fontId="16" fillId="0" borderId="14" xfId="0" applyNumberFormat="1" applyFont="1" applyBorder="1" applyAlignment="1">
      <alignment horizontal="right"/>
    </xf>
    <xf numFmtId="2" fontId="16" fillId="0" borderId="17" xfId="0" applyNumberFormat="1" applyFont="1" applyBorder="1" applyAlignment="1">
      <alignment horizontal="right"/>
    </xf>
    <xf numFmtId="2" fontId="16" fillId="0" borderId="18" xfId="0" applyNumberFormat="1" applyFont="1" applyBorder="1" applyAlignment="1">
      <alignment horizontal="right"/>
    </xf>
    <xf numFmtId="2" fontId="16" fillId="0" borderId="19" xfId="0" applyNumberFormat="1" applyFont="1" applyBorder="1" applyAlignment="1">
      <alignment horizontal="right"/>
    </xf>
    <xf numFmtId="2" fontId="16" fillId="0" borderId="15" xfId="0" applyNumberFormat="1" applyFont="1" applyBorder="1" applyAlignment="1">
      <alignment horizontal="right"/>
    </xf>
    <xf numFmtId="2" fontId="16" fillId="0" borderId="20" xfId="0" applyNumberFormat="1" applyFont="1" applyBorder="1" applyAlignment="1">
      <alignment horizontal="right"/>
    </xf>
    <xf numFmtId="0" fontId="12" fillId="0" borderId="17" xfId="0" applyFont="1" applyBorder="1"/>
    <xf numFmtId="0" fontId="12" fillId="0" borderId="18" xfId="0" applyFont="1" applyBorder="1"/>
    <xf numFmtId="0" fontId="12" fillId="0" borderId="19" xfId="0" applyFont="1" applyBorder="1"/>
    <xf numFmtId="4" fontId="16" fillId="0" borderId="15" xfId="0" applyNumberFormat="1" applyFont="1" applyBorder="1" applyAlignment="1">
      <alignment horizontal="right"/>
    </xf>
    <xf numFmtId="4" fontId="16" fillId="0" borderId="14" xfId="0" applyNumberFormat="1" applyFont="1" applyBorder="1" applyAlignment="1">
      <alignment horizontal="right"/>
    </xf>
    <xf numFmtId="4" fontId="16" fillId="0" borderId="20" xfId="0" applyNumberFormat="1" applyFont="1" applyBorder="1" applyAlignment="1">
      <alignment horizontal="right"/>
    </xf>
    <xf numFmtId="0" fontId="12" fillId="0" borderId="15" xfId="0" applyFont="1" applyBorder="1"/>
    <xf numFmtId="0" fontId="12" fillId="0" borderId="20" xfId="0" applyFont="1" applyBorder="1"/>
    <xf numFmtId="164" fontId="16" fillId="0" borderId="15" xfId="0" applyNumberFormat="1" applyFont="1" applyBorder="1" applyAlignment="1">
      <alignment horizontal="right"/>
    </xf>
    <xf numFmtId="164" fontId="16" fillId="0" borderId="14" xfId="0" applyNumberFormat="1" applyFont="1" applyBorder="1" applyAlignment="1">
      <alignment horizontal="right"/>
    </xf>
    <xf numFmtId="164" fontId="16" fillId="0" borderId="20" xfId="0" applyNumberFormat="1" applyFont="1" applyBorder="1" applyAlignment="1">
      <alignment horizontal="right"/>
    </xf>
    <xf numFmtId="1" fontId="16" fillId="0" borderId="15" xfId="0" applyNumberFormat="1" applyFont="1" applyBorder="1" applyAlignment="1">
      <alignment horizontal="right"/>
    </xf>
    <xf numFmtId="1" fontId="16" fillId="0" borderId="14" xfId="0" applyNumberFormat="1" applyFont="1" applyBorder="1" applyAlignment="1">
      <alignment horizontal="right"/>
    </xf>
    <xf numFmtId="1" fontId="16" fillId="0" borderId="20" xfId="0" applyNumberFormat="1" applyFont="1" applyBorder="1" applyAlignment="1">
      <alignment horizontal="right"/>
    </xf>
    <xf numFmtId="0" fontId="12" fillId="0" borderId="21" xfId="0" applyFont="1" applyBorder="1"/>
    <xf numFmtId="0" fontId="12" fillId="0" borderId="22" xfId="0" applyFont="1" applyBorder="1"/>
    <xf numFmtId="0" fontId="12" fillId="0" borderId="23" xfId="0" applyFont="1" applyBorder="1"/>
    <xf numFmtId="2" fontId="12" fillId="0" borderId="14" xfId="0" applyNumberFormat="1" applyFont="1" applyBorder="1" applyAlignment="1">
      <alignment horizontal="right"/>
    </xf>
    <xf numFmtId="2" fontId="12" fillId="0" borderId="8" xfId="0" applyNumberFormat="1" applyFont="1" applyBorder="1" applyAlignment="1">
      <alignment horizontal="right"/>
    </xf>
    <xf numFmtId="2" fontId="14" fillId="0" borderId="27" xfId="0" applyNumberFormat="1" applyFont="1" applyBorder="1" applyAlignment="1">
      <alignment horizontal="right"/>
    </xf>
    <xf numFmtId="2" fontId="14" fillId="0" borderId="28" xfId="0" applyNumberFormat="1" applyFont="1" applyBorder="1" applyAlignment="1">
      <alignment horizontal="right"/>
    </xf>
    <xf numFmtId="2" fontId="14" fillId="0" borderId="29" xfId="0" applyNumberFormat="1" applyFont="1" applyBorder="1" applyAlignment="1">
      <alignment horizontal="right"/>
    </xf>
    <xf numFmtId="0" fontId="15" fillId="0" borderId="1" xfId="0" applyFont="1" applyBorder="1"/>
    <xf numFmtId="2" fontId="7" fillId="4" borderId="24" xfId="0" applyNumberFormat="1" applyFont="1" applyFill="1" applyBorder="1" applyAlignment="1">
      <alignment horizontal="right"/>
    </xf>
    <xf numFmtId="2" fontId="7" fillId="4" borderId="25" xfId="0" applyNumberFormat="1" applyFont="1" applyFill="1" applyBorder="1" applyAlignment="1">
      <alignment horizontal="right"/>
    </xf>
    <xf numFmtId="2" fontId="7" fillId="4" borderId="26" xfId="0" applyNumberFormat="1" applyFont="1" applyFill="1" applyBorder="1" applyAlignment="1">
      <alignment horizontal="right"/>
    </xf>
    <xf numFmtId="0" fontId="0" fillId="0" borderId="0" xfId="0" applyAlignment="1">
      <alignment vertical="center"/>
    </xf>
    <xf numFmtId="0" fontId="3" fillId="0" borderId="0" xfId="0" applyFont="1" applyAlignment="1">
      <alignment vertical="center"/>
    </xf>
    <xf numFmtId="0" fontId="5" fillId="0" borderId="1" xfId="0" applyFont="1" applyBorder="1" applyAlignment="1">
      <alignment vertical="center"/>
    </xf>
    <xf numFmtId="0" fontId="3" fillId="0" borderId="1" xfId="0" applyFont="1" applyBorder="1" applyAlignment="1">
      <alignment vertical="center"/>
    </xf>
    <xf numFmtId="0" fontId="6" fillId="0" borderId="1" xfId="0" applyFont="1" applyBorder="1" applyAlignment="1">
      <alignment vertical="center"/>
    </xf>
    <xf numFmtId="0" fontId="2" fillId="0" borderId="1" xfId="0" applyFont="1" applyBorder="1" applyAlignment="1">
      <alignment vertical="center"/>
    </xf>
    <xf numFmtId="0" fontId="9" fillId="0" borderId="1" xfId="0" applyFont="1" applyBorder="1" applyAlignment="1">
      <alignment vertical="center"/>
    </xf>
    <xf numFmtId="0" fontId="9" fillId="0" borderId="6" xfId="0" applyFont="1" applyBorder="1" applyAlignment="1">
      <alignment vertical="center"/>
    </xf>
    <xf numFmtId="0" fontId="3" fillId="0" borderId="6" xfId="0" applyFont="1" applyBorder="1" applyAlignment="1">
      <alignment vertical="center"/>
    </xf>
    <xf numFmtId="0" fontId="11" fillId="0" borderId="0" xfId="0" applyFont="1" applyAlignment="1">
      <alignment vertical="center"/>
    </xf>
    <xf numFmtId="0" fontId="12" fillId="0" borderId="0" xfId="0" applyFont="1" applyAlignment="1">
      <alignment vertical="center"/>
    </xf>
    <xf numFmtId="0" fontId="12" fillId="0" borderId="5" xfId="0" applyFont="1" applyBorder="1" applyAlignment="1">
      <alignment vertical="center"/>
    </xf>
    <xf numFmtId="0" fontId="4" fillId="0" borderId="21" xfId="0" applyFont="1" applyBorder="1" applyAlignment="1">
      <alignment vertical="center"/>
    </xf>
    <xf numFmtId="0" fontId="4" fillId="0" borderId="22" xfId="0" applyFont="1" applyBorder="1" applyAlignment="1">
      <alignment vertical="center"/>
    </xf>
    <xf numFmtId="0" fontId="2" fillId="0" borderId="7" xfId="0" applyFont="1" applyBorder="1" applyAlignment="1">
      <alignment vertical="center"/>
    </xf>
    <xf numFmtId="0" fontId="13" fillId="0" borderId="0" xfId="0" applyFont="1" applyAlignment="1">
      <alignment vertical="center"/>
    </xf>
    <xf numFmtId="0" fontId="4" fillId="0" borderId="0" xfId="0" applyFont="1" applyAlignment="1">
      <alignment vertical="center"/>
    </xf>
    <xf numFmtId="0" fontId="10" fillId="0" borderId="14" xfId="0" applyFont="1" applyBorder="1" applyAlignment="1">
      <alignment vertical="center"/>
    </xf>
    <xf numFmtId="0" fontId="12" fillId="0" borderId="14" xfId="0" applyFont="1" applyBorder="1" applyAlignment="1">
      <alignment vertical="center"/>
    </xf>
    <xf numFmtId="0" fontId="12" fillId="0" borderId="2" xfId="0" applyFont="1" applyBorder="1" applyAlignment="1">
      <alignment vertical="center"/>
    </xf>
    <xf numFmtId="2" fontId="14" fillId="0" borderId="27" xfId="0" applyNumberFormat="1" applyFont="1" applyBorder="1" applyAlignment="1">
      <alignment horizontal="right" vertical="center"/>
    </xf>
    <xf numFmtId="2" fontId="14" fillId="0" borderId="28" xfId="0" applyNumberFormat="1" applyFont="1" applyBorder="1" applyAlignment="1">
      <alignment horizontal="right" vertical="center"/>
    </xf>
    <xf numFmtId="2" fontId="14" fillId="0" borderId="29" xfId="0" applyNumberFormat="1" applyFont="1" applyBorder="1" applyAlignment="1">
      <alignment horizontal="right" vertical="center"/>
    </xf>
    <xf numFmtId="0" fontId="2" fillId="0" borderId="16" xfId="0" applyFont="1" applyBorder="1" applyAlignment="1">
      <alignment horizontal="center" vertical="center"/>
    </xf>
    <xf numFmtId="0" fontId="17" fillId="0" borderId="28" xfId="0" applyFont="1" applyBorder="1" applyAlignment="1">
      <alignment vertical="center"/>
    </xf>
    <xf numFmtId="0" fontId="4" fillId="0" borderId="28" xfId="0" applyFont="1" applyBorder="1" applyAlignment="1">
      <alignment vertical="center"/>
    </xf>
    <xf numFmtId="0" fontId="4" fillId="0" borderId="29" xfId="0" applyFont="1" applyBorder="1" applyAlignment="1">
      <alignment vertical="center"/>
    </xf>
    <xf numFmtId="0" fontId="15" fillId="0" borderId="0" xfId="0" applyFont="1" applyAlignment="1">
      <alignment vertical="center" wrapText="1"/>
    </xf>
    <xf numFmtId="0" fontId="15" fillId="0" borderId="1" xfId="0" applyFont="1" applyBorder="1" applyAlignment="1">
      <alignment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6" xfId="0" applyFont="1" applyBorder="1" applyAlignment="1">
      <alignment horizontal="center" vertical="center" wrapText="1"/>
    </xf>
    <xf numFmtId="2" fontId="16" fillId="0" borderId="17" xfId="0" applyNumberFormat="1" applyFont="1" applyBorder="1" applyAlignment="1">
      <alignment horizontal="center" vertical="center"/>
    </xf>
    <xf numFmtId="2" fontId="16" fillId="0" borderId="18" xfId="0" applyNumberFormat="1" applyFont="1" applyBorder="1" applyAlignment="1">
      <alignment horizontal="center" vertical="center"/>
    </xf>
    <xf numFmtId="2" fontId="16" fillId="0" borderId="19" xfId="0" applyNumberFormat="1" applyFont="1" applyBorder="1" applyAlignment="1">
      <alignment horizontal="center" vertical="center"/>
    </xf>
    <xf numFmtId="2" fontId="16" fillId="0" borderId="15" xfId="0" applyNumberFormat="1" applyFont="1" applyBorder="1" applyAlignment="1">
      <alignment horizontal="center" vertical="center"/>
    </xf>
    <xf numFmtId="2" fontId="16" fillId="0" borderId="14" xfId="0" applyNumberFormat="1" applyFont="1" applyBorder="1" applyAlignment="1">
      <alignment horizontal="center" vertical="center"/>
    </xf>
    <xf numFmtId="2" fontId="16" fillId="0" borderId="20" xfId="0" applyNumberFormat="1" applyFont="1" applyBorder="1" applyAlignment="1">
      <alignment horizontal="center" vertical="center"/>
    </xf>
    <xf numFmtId="2" fontId="16" fillId="0" borderId="21" xfId="0" applyNumberFormat="1" applyFont="1" applyBorder="1" applyAlignment="1">
      <alignment horizontal="center" vertical="center"/>
    </xf>
    <xf numFmtId="2" fontId="16" fillId="0" borderId="22" xfId="0" applyNumberFormat="1" applyFont="1" applyBorder="1" applyAlignment="1">
      <alignment horizontal="center" vertical="center"/>
    </xf>
    <xf numFmtId="2" fontId="16" fillId="0" borderId="23" xfId="0" applyNumberFormat="1" applyFont="1" applyBorder="1" applyAlignment="1">
      <alignment horizontal="center"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2" fillId="0" borderId="0" xfId="0" applyFont="1" applyAlignment="1">
      <alignment horizontal="center" vertical="center"/>
    </xf>
    <xf numFmtId="0" fontId="12" fillId="0" borderId="5" xfId="0" applyFont="1" applyBorder="1" applyAlignment="1">
      <alignment horizontal="center" vertical="center"/>
    </xf>
    <xf numFmtId="2" fontId="12" fillId="0" borderId="0" xfId="0" applyNumberFormat="1" applyFont="1" applyAlignment="1">
      <alignment horizontal="center" vertical="center"/>
    </xf>
    <xf numFmtId="2" fontId="12" fillId="0" borderId="5" xfId="0" applyNumberFormat="1" applyFont="1" applyBorder="1" applyAlignment="1">
      <alignment horizontal="center" vertical="center"/>
    </xf>
    <xf numFmtId="0" fontId="16"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4" xfId="0" applyFont="1" applyBorder="1" applyAlignment="1">
      <alignment horizontal="center" vertical="center"/>
    </xf>
    <xf numFmtId="0" fontId="12" fillId="0" borderId="20" xfId="0" applyFont="1" applyBorder="1" applyAlignment="1">
      <alignment horizontal="center" vertical="center"/>
    </xf>
    <xf numFmtId="0" fontId="12" fillId="0" borderId="8" xfId="0" applyFont="1" applyBorder="1" applyAlignment="1">
      <alignment horizontal="center" vertical="center"/>
    </xf>
    <xf numFmtId="2" fontId="12" fillId="0" borderId="8" xfId="0" applyNumberFormat="1" applyFont="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 xfId="0" applyFont="1" applyBorder="1" applyAlignment="1">
      <alignment horizontal="center" vertical="center"/>
    </xf>
    <xf numFmtId="0" fontId="12" fillId="0" borderId="9" xfId="0" applyFont="1" applyBorder="1" applyAlignment="1">
      <alignment horizontal="center" vertical="center"/>
    </xf>
    <xf numFmtId="2" fontId="12" fillId="0" borderId="14" xfId="0" applyNumberFormat="1"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165" fontId="12" fillId="0" borderId="0" xfId="0" applyNumberFormat="1" applyFont="1" applyAlignment="1">
      <alignment horizontal="center" vertical="center"/>
    </xf>
    <xf numFmtId="165" fontId="12" fillId="0" borderId="5" xfId="0" applyNumberFormat="1" applyFont="1" applyBorder="1" applyAlignment="1">
      <alignment horizontal="center" vertical="center"/>
    </xf>
    <xf numFmtId="0" fontId="3" fillId="0" borderId="14" xfId="0" applyFont="1" applyBorder="1" applyAlignment="1">
      <alignment vertical="center"/>
    </xf>
    <xf numFmtId="0" fontId="12" fillId="0" borderId="4" xfId="0" applyFont="1" applyBorder="1" applyAlignment="1">
      <alignment vertical="center"/>
    </xf>
    <xf numFmtId="0" fontId="10" fillId="0" borderId="14" xfId="0" applyFont="1" applyBorder="1" applyAlignment="1">
      <alignment horizontal="center" vertical="center"/>
    </xf>
    <xf numFmtId="0" fontId="24" fillId="0" borderId="5" xfId="0" applyFont="1" applyBorder="1" applyAlignment="1">
      <alignment horizontal="center" vertical="center"/>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0" xfId="0" applyAlignment="1">
      <alignment vertical="center" wrapText="1"/>
    </xf>
    <xf numFmtId="0" fontId="2" fillId="0" borderId="24" xfId="0" applyFont="1" applyBorder="1" applyAlignment="1">
      <alignment horizontal="center" vertical="center" wrapText="1"/>
    </xf>
    <xf numFmtId="0" fontId="16" fillId="0" borderId="15" xfId="0" applyFont="1" applyBorder="1" applyAlignment="1">
      <alignment horizontal="center" vertical="center"/>
    </xf>
    <xf numFmtId="0" fontId="16" fillId="0" borderId="20" xfId="0" applyFont="1" applyBorder="1" applyAlignment="1">
      <alignment horizontal="center" vertical="center"/>
    </xf>
    <xf numFmtId="0" fontId="26" fillId="0" borderId="27" xfId="0" applyFont="1" applyBorder="1" applyAlignment="1">
      <alignment horizontal="center" vertical="center" wrapText="1"/>
    </xf>
    <xf numFmtId="166" fontId="16" fillId="0" borderId="15" xfId="0" applyNumberFormat="1" applyFont="1" applyBorder="1" applyAlignment="1">
      <alignment horizontal="center" vertical="center"/>
    </xf>
    <xf numFmtId="166" fontId="16" fillId="0" borderId="14" xfId="0" applyNumberFormat="1" applyFont="1" applyBorder="1" applyAlignment="1">
      <alignment horizontal="center" vertical="center"/>
    </xf>
    <xf numFmtId="166" fontId="16" fillId="0" borderId="20" xfId="0" applyNumberFormat="1" applyFont="1" applyBorder="1" applyAlignment="1">
      <alignment horizontal="center" vertical="center"/>
    </xf>
    <xf numFmtId="0" fontId="4" fillId="0" borderId="14" xfId="0" applyFont="1" applyBorder="1" applyAlignment="1">
      <alignment horizontal="left" vertical="center" wrapText="1"/>
    </xf>
    <xf numFmtId="0" fontId="26" fillId="0" borderId="28" xfId="0" applyFont="1" applyBorder="1" applyAlignment="1">
      <alignment horizontal="center" vertical="center" wrapText="1"/>
    </xf>
    <xf numFmtId="2" fontId="12" fillId="0" borderId="19" xfId="0" applyNumberFormat="1" applyFont="1" applyBorder="1" applyAlignment="1">
      <alignment horizontal="center" vertical="center"/>
    </xf>
    <xf numFmtId="0" fontId="9" fillId="0" borderId="14" xfId="0" applyFont="1" applyBorder="1" applyAlignment="1">
      <alignment vertical="center"/>
    </xf>
    <xf numFmtId="2" fontId="14" fillId="0" borderId="14" xfId="0" applyNumberFormat="1" applyFont="1" applyBorder="1" applyAlignment="1">
      <alignment horizontal="right" vertical="center"/>
    </xf>
    <xf numFmtId="0" fontId="0" fillId="0" borderId="14" xfId="0" applyBorder="1" applyAlignment="1">
      <alignment vertical="center"/>
    </xf>
    <xf numFmtId="0" fontId="0" fillId="0" borderId="14" xfId="0" applyBorder="1" applyAlignment="1">
      <alignment vertical="center" wrapText="1"/>
    </xf>
    <xf numFmtId="0" fontId="17" fillId="0" borderId="14" xfId="0" applyFont="1" applyBorder="1" applyAlignment="1">
      <alignment horizontal="left" vertical="center" wrapText="1"/>
    </xf>
    <xf numFmtId="0" fontId="0" fillId="0" borderId="21" xfId="0" applyBorder="1" applyAlignment="1">
      <alignment horizontal="center" vertical="center"/>
    </xf>
    <xf numFmtId="1" fontId="12" fillId="0" borderId="14" xfId="0" applyNumberFormat="1" applyFont="1" applyBorder="1" applyAlignment="1">
      <alignment horizontal="center" vertical="center"/>
    </xf>
    <xf numFmtId="10" fontId="16" fillId="0" borderId="14" xfId="0" applyNumberFormat="1" applyFont="1" applyBorder="1" applyAlignment="1">
      <alignment horizontal="center" vertical="center"/>
    </xf>
    <xf numFmtId="10" fontId="28" fillId="0" borderId="4" xfId="0" applyNumberFormat="1" applyFont="1" applyBorder="1" applyAlignment="1">
      <alignment horizontal="center" vertical="center"/>
    </xf>
    <xf numFmtId="0" fontId="25" fillId="0" borderId="16" xfId="0" applyFont="1" applyBorder="1" applyAlignment="1">
      <alignment horizontal="center" vertical="center" wrapText="1"/>
    </xf>
    <xf numFmtId="10" fontId="12" fillId="0" borderId="14" xfId="0" applyNumberFormat="1" applyFont="1" applyBorder="1" applyAlignment="1">
      <alignment vertical="center"/>
    </xf>
    <xf numFmtId="167" fontId="12" fillId="0" borderId="0" xfId="0" applyNumberFormat="1" applyFont="1" applyAlignment="1">
      <alignment horizontal="center" vertical="center"/>
    </xf>
    <xf numFmtId="167" fontId="12" fillId="0" borderId="5" xfId="0" applyNumberFormat="1" applyFont="1" applyBorder="1" applyAlignment="1">
      <alignment horizontal="center" vertical="center"/>
    </xf>
    <xf numFmtId="168" fontId="16" fillId="9" borderId="15" xfId="0" applyNumberFormat="1" applyFont="1" applyFill="1" applyBorder="1" applyAlignment="1">
      <alignment horizontal="center" vertical="center"/>
    </xf>
    <xf numFmtId="168" fontId="16" fillId="9" borderId="14" xfId="0" applyNumberFormat="1" applyFont="1" applyFill="1" applyBorder="1" applyAlignment="1">
      <alignment horizontal="center" vertical="center"/>
    </xf>
    <xf numFmtId="168" fontId="16" fillId="9" borderId="20" xfId="0" applyNumberFormat="1" applyFont="1" applyFill="1" applyBorder="1" applyAlignment="1">
      <alignment horizontal="center" vertical="center"/>
    </xf>
    <xf numFmtId="168" fontId="16" fillId="0" borderId="15" xfId="0" applyNumberFormat="1" applyFont="1" applyBorder="1" applyAlignment="1">
      <alignment horizontal="center" vertical="center"/>
    </xf>
    <xf numFmtId="168" fontId="16" fillId="0" borderId="14" xfId="0" applyNumberFormat="1" applyFont="1" applyBorder="1" applyAlignment="1">
      <alignment horizontal="center" vertical="center"/>
    </xf>
    <xf numFmtId="168" fontId="16" fillId="0" borderId="20" xfId="0" applyNumberFormat="1" applyFont="1" applyBorder="1" applyAlignment="1">
      <alignment horizontal="center" vertical="center"/>
    </xf>
    <xf numFmtId="0" fontId="2" fillId="0" borderId="34" xfId="0" applyFont="1" applyBorder="1" applyAlignment="1">
      <alignment horizontal="center"/>
    </xf>
    <xf numFmtId="0" fontId="0" fillId="0" borderId="33" xfId="0" applyBorder="1" applyAlignment="1">
      <alignment horizontal="center"/>
    </xf>
    <xf numFmtId="0" fontId="0" fillId="0" borderId="35" xfId="0" applyBorder="1" applyAlignment="1">
      <alignment horizontal="center"/>
    </xf>
    <xf numFmtId="0" fontId="2" fillId="0" borderId="27" xfId="0" applyFont="1" applyBorder="1"/>
    <xf numFmtId="0" fontId="0" fillId="0" borderId="28" xfId="0" applyBorder="1"/>
    <xf numFmtId="0" fontId="0" fillId="0" borderId="29" xfId="0" applyBorder="1"/>
    <xf numFmtId="0" fontId="0" fillId="0" borderId="0" xfId="0" applyAlignment="1">
      <alignment horizontal="right"/>
    </xf>
    <xf numFmtId="0" fontId="0" fillId="0" borderId="0" xfId="0"/>
    <xf numFmtId="0" fontId="1" fillId="0" borderId="0" xfId="0" applyFont="1" applyAlignment="1">
      <alignment horizontal="right"/>
    </xf>
    <xf numFmtId="0" fontId="7" fillId="0" borderId="0" xfId="0" applyFont="1" applyAlignment="1">
      <alignment vertical="top" wrapText="1"/>
    </xf>
    <xf numFmtId="0" fontId="2" fillId="0" borderId="27"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2" fillId="0" borderId="27" xfId="0" applyFont="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2" fillId="0" borderId="34" xfId="0" applyFont="1" applyBorder="1" applyAlignment="1">
      <alignment horizontal="center" vertical="center"/>
    </xf>
    <xf numFmtId="0" fontId="2" fillId="0" borderId="33" xfId="0" applyFon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27" fillId="0" borderId="15" xfId="0" applyFont="1" applyBorder="1" applyAlignment="1">
      <alignment horizontal="left" vertical="center" wrapText="1"/>
    </xf>
    <xf numFmtId="0" fontId="4" fillId="0" borderId="14" xfId="0" applyFont="1" applyBorder="1" applyAlignment="1">
      <alignment horizontal="left" vertical="center" wrapText="1"/>
    </xf>
    <xf numFmtId="0" fontId="4" fillId="0" borderId="20" xfId="0" applyFont="1" applyBorder="1" applyAlignment="1">
      <alignment horizontal="left" vertical="center" wrapText="1"/>
    </xf>
    <xf numFmtId="0" fontId="27" fillId="0" borderId="21" xfId="0" applyFont="1" applyBorder="1" applyAlignment="1">
      <alignment horizontal="left" vertical="center" wrapText="1"/>
    </xf>
    <xf numFmtId="0" fontId="4" fillId="0" borderId="22" xfId="0" applyFont="1" applyBorder="1" applyAlignment="1">
      <alignment horizontal="left" vertical="center" wrapText="1"/>
    </xf>
    <xf numFmtId="0" fontId="4" fillId="0" borderId="23" xfId="0" applyFont="1" applyBorder="1" applyAlignment="1">
      <alignment horizontal="left" vertical="center" wrapText="1"/>
    </xf>
    <xf numFmtId="0" fontId="27" fillId="0" borderId="17" xfId="0" applyFont="1" applyBorder="1" applyAlignment="1">
      <alignment horizontal="left" vertical="center" wrapText="1"/>
    </xf>
    <xf numFmtId="0" fontId="4" fillId="0" borderId="18" xfId="0" applyFont="1" applyBorder="1" applyAlignment="1">
      <alignment horizontal="left" vertical="center" wrapText="1"/>
    </xf>
    <xf numFmtId="0" fontId="4" fillId="0" borderId="19" xfId="0" applyFont="1" applyBorder="1" applyAlignment="1">
      <alignment horizontal="left" vertical="center" wrapText="1"/>
    </xf>
    <xf numFmtId="0" fontId="17" fillId="0" borderId="27" xfId="0" applyFont="1" applyBorder="1" applyAlignment="1">
      <alignment horizontal="left" vertical="center" wrapText="1"/>
    </xf>
    <xf numFmtId="0" fontId="17" fillId="0" borderId="28" xfId="0" applyFont="1" applyBorder="1" applyAlignment="1">
      <alignment horizontal="left" vertical="center" wrapText="1"/>
    </xf>
    <xf numFmtId="0" fontId="17" fillId="0" borderId="29" xfId="0" applyFont="1" applyBorder="1" applyAlignment="1">
      <alignment horizontal="left" vertical="center" wrapText="1"/>
    </xf>
    <xf numFmtId="0" fontId="25" fillId="0" borderId="27" xfId="0" applyFont="1" applyBorder="1" applyAlignment="1">
      <alignment vertical="center" wrapText="1"/>
    </xf>
    <xf numFmtId="0" fontId="0" fillId="0" borderId="28" xfId="0" applyBorder="1" applyAlignment="1">
      <alignment vertical="center" wrapText="1"/>
    </xf>
    <xf numFmtId="0" fontId="0" fillId="0" borderId="29" xfId="0" applyBorder="1" applyAlignment="1">
      <alignment vertical="center" wrapText="1"/>
    </xf>
    <xf numFmtId="0" fontId="4" fillId="0" borderId="17" xfId="0" applyFont="1" applyBorder="1" applyAlignment="1">
      <alignment horizontal="left" vertical="center" wrapText="1"/>
    </xf>
    <xf numFmtId="0" fontId="4" fillId="0" borderId="15" xfId="0" applyFont="1" applyBorder="1" applyAlignment="1">
      <alignment horizontal="left" vertical="center" wrapText="1"/>
    </xf>
    <xf numFmtId="0" fontId="4" fillId="0" borderId="21" xfId="0" applyFont="1" applyBorder="1" applyAlignment="1">
      <alignment horizontal="left" vertical="center" wrapText="1"/>
    </xf>
    <xf numFmtId="0" fontId="25" fillId="0" borderId="27" xfId="0" applyFont="1"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0" xfId="0" applyAlignment="1">
      <alignment horizontal="right" vertical="center"/>
    </xf>
    <xf numFmtId="0" fontId="0" fillId="0" borderId="0" xfId="0" applyAlignment="1">
      <alignment vertical="center"/>
    </xf>
    <xf numFmtId="0" fontId="1" fillId="0" borderId="0" xfId="0" applyFont="1" applyAlignment="1">
      <alignment horizontal="right" vertical="center"/>
    </xf>
    <xf numFmtId="0" fontId="7" fillId="0" borderId="0" xfId="0" applyFont="1" applyAlignment="1">
      <alignment vertical="center" wrapText="1"/>
    </xf>
    <xf numFmtId="0" fontId="3" fillId="0" borderId="14" xfId="0" applyFont="1" applyBorder="1" applyAlignment="1">
      <alignment horizontal="center" vertical="center" wrapText="1"/>
    </xf>
    <xf numFmtId="0" fontId="3" fillId="0" borderId="14" xfId="0" applyFont="1" applyBorder="1" applyAlignment="1">
      <alignment horizontal="center" vertical="center"/>
    </xf>
    <xf numFmtId="0" fontId="2" fillId="5" borderId="34" xfId="0" applyFont="1" applyFill="1" applyBorder="1" applyAlignment="1">
      <alignment horizontal="center"/>
    </xf>
    <xf numFmtId="0" fontId="2" fillId="4" borderId="30" xfId="0" applyFont="1" applyFill="1" applyBorder="1" applyAlignment="1">
      <alignment horizontal="center"/>
    </xf>
    <xf numFmtId="0" fontId="2" fillId="4" borderId="31" xfId="0" applyFont="1" applyFill="1" applyBorder="1" applyAlignment="1">
      <alignment horizontal="center"/>
    </xf>
    <xf numFmtId="0" fontId="2" fillId="4" borderId="32" xfId="0" applyFont="1" applyFill="1" applyBorder="1" applyAlignment="1">
      <alignment horizontal="center"/>
    </xf>
  </cellXfs>
  <cellStyles count="7">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Normal" xfId="0" builtinId="0"/>
  </cellStyles>
  <dxfs count="0"/>
  <tableStyles count="0" defaultTableStyle="TableStyleMedium2" defaultPivotStyle="PivotStyleLight16"/>
  <colors>
    <mruColors>
      <color rgb="FFFFFD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Matrix Final Scores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KKeeton!$O$14:$R$14</c:f>
              <c:strCache>
                <c:ptCount val="4"/>
                <c:pt idx="0">
                  <c:v>Buying Seed Packets</c:v>
                </c:pt>
                <c:pt idx="1">
                  <c:v>Buying GREAT Seed Packets</c:v>
                </c:pt>
                <c:pt idx="2">
                  <c:v>Google Search</c:v>
                </c:pt>
                <c:pt idx="3">
                  <c:v>API Or Online App</c:v>
                </c:pt>
              </c:strCache>
            </c:strRef>
          </c:cat>
          <c:val>
            <c:numRef>
              <c:f>KKeeton!$O$25:$R$25</c:f>
              <c:numCache>
                <c:formatCode>0.00</c:formatCode>
                <c:ptCount val="4"/>
                <c:pt idx="0">
                  <c:v>0.11593023255813953</c:v>
                </c:pt>
                <c:pt idx="1">
                  <c:v>0.27848837209302324</c:v>
                </c:pt>
                <c:pt idx="2">
                  <c:v>0.53488372093023251</c:v>
                </c:pt>
                <c:pt idx="3">
                  <c:v>0.59313953488372095</c:v>
                </c:pt>
              </c:numCache>
            </c:numRef>
          </c:val>
          <c:smooth val="0"/>
          <c:extLst>
            <c:ext xmlns:c16="http://schemas.microsoft.com/office/drawing/2014/chart" uri="{C3380CC4-5D6E-409C-BE32-E72D297353CC}">
              <c16:uniqueId val="{00000000-6E3B-443D-A42F-B2C0328955E8}"/>
            </c:ext>
          </c:extLst>
        </c:ser>
        <c:dLbls>
          <c:showLegendKey val="0"/>
          <c:showVal val="0"/>
          <c:showCatName val="0"/>
          <c:showSerName val="0"/>
          <c:showPercent val="0"/>
          <c:showBubbleSize val="0"/>
        </c:dLbls>
        <c:marker val="1"/>
        <c:smooth val="0"/>
        <c:axId val="493830176"/>
        <c:axId val="493834016"/>
      </c:lineChart>
      <c:catAx>
        <c:axId val="49383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34016"/>
        <c:crosses val="autoZero"/>
        <c:auto val="1"/>
        <c:lblAlgn val="ctr"/>
        <c:lblOffset val="100"/>
        <c:noMultiLvlLbl val="0"/>
      </c:catAx>
      <c:valAx>
        <c:axId val="493834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30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Sample!$H$198:$J$198</c:f>
              <c:strCache>
                <c:ptCount val="3"/>
                <c:pt idx="0">
                  <c:v>Option A</c:v>
                </c:pt>
                <c:pt idx="1">
                  <c:v>Option C</c:v>
                </c:pt>
                <c:pt idx="2">
                  <c:v>Option B</c:v>
                </c:pt>
              </c:strCache>
            </c:strRef>
          </c:cat>
          <c:val>
            <c:numRef>
              <c:f>Sample!$H$199:$J$199</c:f>
              <c:numCache>
                <c:formatCode>0.00</c:formatCode>
                <c:ptCount val="3"/>
                <c:pt idx="0">
                  <c:v>0.64477650227666261</c:v>
                </c:pt>
                <c:pt idx="1">
                  <c:v>0.61009529162784204</c:v>
                </c:pt>
                <c:pt idx="2">
                  <c:v>0.54215224151611519</c:v>
                </c:pt>
              </c:numCache>
            </c:numRef>
          </c:val>
          <c:smooth val="0"/>
          <c:extLst>
            <c:ext xmlns:c16="http://schemas.microsoft.com/office/drawing/2014/chart" uri="{C3380CC4-5D6E-409C-BE32-E72D297353CC}">
              <c16:uniqueId val="{00000000-C4B4-964E-B3FC-B2A2185CB20A}"/>
            </c:ext>
          </c:extLst>
        </c:ser>
        <c:dLbls>
          <c:showLegendKey val="0"/>
          <c:showVal val="0"/>
          <c:showCatName val="0"/>
          <c:showSerName val="0"/>
          <c:showPercent val="0"/>
          <c:showBubbleSize val="0"/>
        </c:dLbls>
        <c:smooth val="0"/>
        <c:axId val="629179072"/>
        <c:axId val="603291968"/>
      </c:lineChart>
      <c:catAx>
        <c:axId val="62917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91968"/>
        <c:crosses val="autoZero"/>
        <c:auto val="1"/>
        <c:lblAlgn val="ctr"/>
        <c:lblOffset val="100"/>
        <c:noMultiLvlLbl val="0"/>
      </c:catAx>
      <c:valAx>
        <c:axId val="603291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179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983673</xdr:colOff>
      <xdr:row>0</xdr:row>
      <xdr:rowOff>90054</xdr:rowOff>
    </xdr:from>
    <xdr:to>
      <xdr:col>15</xdr:col>
      <xdr:colOff>595745</xdr:colOff>
      <xdr:row>11</xdr:row>
      <xdr:rowOff>0</xdr:rowOff>
    </xdr:to>
    <xdr:graphicFrame macro="">
      <xdr:nvGraphicFramePr>
        <xdr:cNvPr id="2" name="Chart 1">
          <a:extLst>
            <a:ext uri="{FF2B5EF4-FFF2-40B4-BE49-F238E27FC236}">
              <a16:creationId xmlns:a16="http://schemas.microsoft.com/office/drawing/2014/main" id="{5449D21B-E39E-CD06-7023-57DAB37F1B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6350</xdr:colOff>
      <xdr:row>204</xdr:row>
      <xdr:rowOff>6350</xdr:rowOff>
    </xdr:from>
    <xdr:to>
      <xdr:col>6</xdr:col>
      <xdr:colOff>158750</xdr:colOff>
      <xdr:row>216</xdr:row>
      <xdr:rowOff>6350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56"/>
  <sheetViews>
    <sheetView topLeftCell="A5" zoomScale="85" zoomScaleNormal="85" workbookViewId="0">
      <selection activeCell="N21" sqref="N21"/>
    </sheetView>
  </sheetViews>
  <sheetFormatPr defaultColWidth="14.44140625" defaultRowHeight="15.75" customHeight="1" x14ac:dyDescent="0.25"/>
  <sheetData>
    <row r="1" spans="1:26" ht="15.75" customHeight="1" x14ac:dyDescent="0.25">
      <c r="A1" s="356" t="s">
        <v>124</v>
      </c>
      <c r="B1" s="357"/>
      <c r="C1" s="357"/>
      <c r="D1" s="357"/>
      <c r="E1" s="357"/>
      <c r="F1" s="357"/>
      <c r="G1" s="357"/>
      <c r="H1" s="357"/>
      <c r="I1" s="357"/>
      <c r="J1" s="2"/>
      <c r="K1" s="2"/>
      <c r="L1" s="2"/>
      <c r="M1" s="2"/>
      <c r="N1" s="2"/>
      <c r="O1" s="2"/>
      <c r="P1" s="2"/>
      <c r="Q1" s="2"/>
      <c r="R1" s="2"/>
      <c r="S1" s="2"/>
      <c r="T1" s="2"/>
      <c r="U1" s="2"/>
      <c r="V1" s="2"/>
      <c r="W1" s="2"/>
      <c r="X1" s="2"/>
      <c r="Y1" s="2"/>
      <c r="Z1" s="2"/>
    </row>
    <row r="2" spans="1:26" ht="15.75" customHeight="1" x14ac:dyDescent="0.25">
      <c r="A2" s="358" t="s">
        <v>2</v>
      </c>
      <c r="B2" s="357"/>
      <c r="C2" s="357"/>
      <c r="D2" s="357"/>
      <c r="E2" s="357"/>
      <c r="F2" s="357"/>
      <c r="G2" s="357"/>
      <c r="H2" s="357"/>
      <c r="I2" s="357"/>
      <c r="J2" s="2"/>
      <c r="K2" s="2"/>
      <c r="L2" s="2"/>
      <c r="M2" s="2"/>
      <c r="N2" s="2"/>
      <c r="O2" s="2"/>
      <c r="P2" s="2"/>
      <c r="Q2" s="2"/>
      <c r="R2" s="2"/>
      <c r="S2" s="2"/>
      <c r="T2" s="2"/>
      <c r="U2" s="2"/>
      <c r="V2" s="2"/>
      <c r="W2" s="2"/>
      <c r="X2" s="2"/>
      <c r="Y2" s="2"/>
      <c r="Z2" s="2"/>
    </row>
    <row r="3" spans="1:26" ht="29.25" customHeight="1" x14ac:dyDescent="0.4">
      <c r="A3" s="5" t="s">
        <v>4</v>
      </c>
      <c r="B3" s="7"/>
      <c r="C3" s="7"/>
      <c r="D3" s="7"/>
      <c r="E3" s="2"/>
      <c r="F3" s="2"/>
      <c r="G3" s="2"/>
      <c r="H3" s="2"/>
      <c r="I3" s="2"/>
      <c r="J3" s="2"/>
      <c r="K3" s="2"/>
      <c r="L3" s="2"/>
      <c r="M3" s="2"/>
      <c r="N3" s="2"/>
      <c r="O3" s="2"/>
      <c r="P3" s="2"/>
      <c r="Q3" s="2"/>
      <c r="R3" s="2"/>
      <c r="S3" s="2"/>
      <c r="T3" s="2"/>
      <c r="U3" s="2"/>
      <c r="V3" s="2"/>
      <c r="W3" s="2"/>
      <c r="X3" s="2"/>
      <c r="Y3" s="2"/>
      <c r="Z3" s="2"/>
    </row>
    <row r="4" spans="1:26" ht="24" customHeight="1" x14ac:dyDescent="0.4">
      <c r="A4" s="8" t="s">
        <v>6</v>
      </c>
      <c r="B4" s="7"/>
      <c r="C4" s="7"/>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7.399999999999999" x14ac:dyDescent="0.3">
      <c r="A6" s="1" t="s">
        <v>7</v>
      </c>
      <c r="B6" s="2"/>
      <c r="C6" s="2"/>
      <c r="D6" s="2"/>
      <c r="E6" s="2"/>
      <c r="F6" s="2"/>
      <c r="G6" s="2"/>
      <c r="H6" s="2"/>
      <c r="I6" s="2"/>
      <c r="J6" s="2"/>
      <c r="K6" s="2"/>
      <c r="L6" s="2"/>
      <c r="M6" s="2"/>
      <c r="N6" s="2"/>
      <c r="O6" s="2"/>
      <c r="P6" s="2"/>
      <c r="Q6" s="2"/>
      <c r="R6" s="2"/>
      <c r="S6" s="2"/>
      <c r="T6" s="2"/>
      <c r="U6" s="2"/>
      <c r="V6" s="2"/>
      <c r="W6" s="2"/>
      <c r="X6" s="2"/>
      <c r="Y6" s="2"/>
      <c r="Z6" s="2"/>
    </row>
    <row r="7" spans="1:26" ht="81.75" customHeight="1" x14ac:dyDescent="0.25">
      <c r="A7" s="359" t="s">
        <v>119</v>
      </c>
      <c r="B7" s="357"/>
      <c r="C7" s="357"/>
      <c r="D7" s="357"/>
      <c r="E7" s="357"/>
      <c r="F7" s="357"/>
      <c r="G7" s="357"/>
      <c r="H7" s="357"/>
      <c r="I7" s="357"/>
      <c r="J7" s="2"/>
      <c r="K7" s="2"/>
      <c r="L7" s="2"/>
      <c r="M7" s="2"/>
      <c r="N7" s="2"/>
      <c r="O7" s="2"/>
      <c r="P7" s="2"/>
      <c r="Q7" s="2"/>
      <c r="R7" s="2"/>
      <c r="S7" s="2"/>
      <c r="T7" s="2"/>
      <c r="U7" s="2"/>
      <c r="V7" s="2"/>
      <c r="W7" s="2"/>
      <c r="X7" s="2"/>
      <c r="Y7" s="2"/>
      <c r="Z7" s="2"/>
    </row>
    <row r="8" spans="1:26" ht="25.5" customHeight="1" x14ac:dyDescent="0.25">
      <c r="A8" s="359" t="s">
        <v>120</v>
      </c>
      <c r="B8" s="357"/>
      <c r="C8" s="357"/>
      <c r="D8" s="357"/>
      <c r="E8" s="357"/>
      <c r="F8" s="357"/>
      <c r="G8" s="357"/>
      <c r="H8" s="357"/>
      <c r="I8" s="357"/>
      <c r="J8" s="2"/>
      <c r="K8" s="2"/>
      <c r="L8" s="2"/>
      <c r="M8" s="2"/>
      <c r="N8" s="2"/>
      <c r="O8" s="2"/>
      <c r="P8" s="2"/>
      <c r="Q8" s="2"/>
      <c r="R8" s="2"/>
      <c r="S8" s="2"/>
      <c r="T8" s="2"/>
      <c r="U8" s="2"/>
      <c r="V8" s="2"/>
      <c r="W8" s="2"/>
      <c r="X8" s="2"/>
      <c r="Y8" s="2"/>
      <c r="Z8" s="2"/>
    </row>
    <row r="9" spans="1:26" ht="33" customHeight="1" x14ac:dyDescent="0.3">
      <c r="A9" s="12"/>
      <c r="B9" s="7"/>
      <c r="C9" s="7"/>
      <c r="D9" s="7"/>
      <c r="E9" s="7"/>
      <c r="F9" s="2"/>
      <c r="G9" s="2"/>
      <c r="H9" s="2"/>
      <c r="I9" s="2"/>
      <c r="J9" s="2"/>
      <c r="K9" s="2"/>
      <c r="L9" s="2"/>
      <c r="M9" s="2"/>
      <c r="N9" s="2"/>
      <c r="O9" s="2"/>
      <c r="P9" s="2"/>
      <c r="Q9" s="2"/>
      <c r="R9" s="2"/>
      <c r="S9" s="2"/>
      <c r="T9" s="2"/>
      <c r="U9" s="2"/>
      <c r="V9" s="2"/>
      <c r="W9" s="2"/>
      <c r="X9" s="2"/>
      <c r="Y9" s="2"/>
      <c r="Z9" s="2"/>
    </row>
    <row r="10" spans="1:26" ht="15.75" customHeight="1" x14ac:dyDescent="0.3">
      <c r="A10" s="13"/>
      <c r="B10" s="14"/>
      <c r="C10" s="14"/>
      <c r="D10" s="14"/>
      <c r="E10" s="14"/>
      <c r="F10" s="14"/>
      <c r="G10" s="14"/>
      <c r="H10" s="14"/>
      <c r="I10" s="14"/>
      <c r="J10" s="2"/>
      <c r="K10" s="2"/>
      <c r="L10" s="2"/>
      <c r="M10" s="2"/>
      <c r="N10" s="2"/>
      <c r="O10" s="2"/>
      <c r="P10" s="2"/>
      <c r="Q10" s="2"/>
      <c r="R10" s="2"/>
      <c r="S10" s="2"/>
      <c r="T10" s="2"/>
      <c r="U10" s="2"/>
      <c r="V10" s="2"/>
      <c r="W10" s="2"/>
      <c r="X10" s="2"/>
      <c r="Y10" s="2"/>
      <c r="Z10" s="2"/>
    </row>
    <row r="11" spans="1:26" ht="18" thickBot="1" x14ac:dyDescent="0.3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22.05" customHeight="1" thickBot="1" x14ac:dyDescent="0.4">
      <c r="A12" s="16"/>
      <c r="B12" s="17"/>
      <c r="C12" s="360" t="s">
        <v>100</v>
      </c>
      <c r="D12" s="361"/>
      <c r="E12" s="362"/>
      <c r="F12" s="67"/>
      <c r="G12" s="68"/>
      <c r="H12" s="360" t="s">
        <v>101</v>
      </c>
      <c r="I12" s="361"/>
      <c r="J12" s="362"/>
      <c r="K12" s="67"/>
      <c r="L12" s="350" t="s">
        <v>102</v>
      </c>
      <c r="M12" s="351"/>
      <c r="N12" s="352"/>
      <c r="O12" s="126" t="s">
        <v>16</v>
      </c>
      <c r="P12" s="16"/>
      <c r="Q12" s="16"/>
      <c r="R12" s="16"/>
      <c r="S12" s="16"/>
      <c r="T12" s="16"/>
      <c r="U12" s="16"/>
      <c r="V12" s="16"/>
      <c r="W12" s="16"/>
      <c r="X12" s="16"/>
      <c r="Y12" s="16"/>
      <c r="Z12" s="16"/>
    </row>
    <row r="13" spans="1:26" ht="21" customHeight="1" thickBot="1" x14ac:dyDescent="0.4">
      <c r="A13" s="18" t="s">
        <v>76</v>
      </c>
      <c r="B13" s="17"/>
      <c r="C13" s="86" t="s">
        <v>8</v>
      </c>
      <c r="D13" s="87" t="s">
        <v>9</v>
      </c>
      <c r="E13" s="88" t="s">
        <v>18</v>
      </c>
      <c r="F13" s="167" t="s">
        <v>19</v>
      </c>
      <c r="G13" s="176" t="s">
        <v>20</v>
      </c>
      <c r="H13" s="147" t="s">
        <v>8</v>
      </c>
      <c r="I13" s="148" t="s">
        <v>9</v>
      </c>
      <c r="J13" s="149" t="s">
        <v>18</v>
      </c>
      <c r="K13" s="152" t="s">
        <v>11</v>
      </c>
      <c r="L13" s="77" t="s">
        <v>8</v>
      </c>
      <c r="M13" s="78" t="s">
        <v>9</v>
      </c>
      <c r="N13" s="79" t="s">
        <v>18</v>
      </c>
      <c r="O13" s="4"/>
      <c r="P13" s="16"/>
      <c r="Q13" s="16"/>
      <c r="R13" s="16"/>
      <c r="S13" s="16"/>
      <c r="T13" s="16"/>
      <c r="U13" s="16"/>
      <c r="V13" s="16"/>
      <c r="W13" s="16"/>
      <c r="X13" s="16"/>
      <c r="Y13" s="16"/>
      <c r="Z13" s="16"/>
    </row>
    <row r="14" spans="1:26" ht="19.95" customHeight="1" x14ac:dyDescent="0.35">
      <c r="A14" s="21" t="s">
        <v>121</v>
      </c>
      <c r="B14" s="162"/>
      <c r="C14" s="221" t="s">
        <v>1</v>
      </c>
      <c r="D14" s="222" t="s">
        <v>1</v>
      </c>
      <c r="E14" s="223" t="s">
        <v>1</v>
      </c>
      <c r="F14" s="16" t="s">
        <v>1</v>
      </c>
      <c r="G14" s="17"/>
      <c r="H14" s="25" t="s">
        <v>1</v>
      </c>
      <c r="I14" s="25" t="s">
        <v>1</v>
      </c>
      <c r="J14" s="26" t="s">
        <v>1</v>
      </c>
      <c r="K14" s="210" t="s">
        <v>1</v>
      </c>
      <c r="L14" s="216" t="e">
        <f>H14*$K14</f>
        <v>#VALUE!</v>
      </c>
      <c r="M14" s="217" t="e">
        <f t="shared" ref="M14:N14" si="0">I14*$K$14</f>
        <v>#VALUE!</v>
      </c>
      <c r="N14" s="218" t="e">
        <f t="shared" si="0"/>
        <v>#VALUE!</v>
      </c>
      <c r="O14" s="16"/>
      <c r="P14" s="16"/>
      <c r="Q14" s="16"/>
      <c r="R14" s="16"/>
      <c r="S14" s="16"/>
      <c r="T14" s="16"/>
      <c r="U14" s="16"/>
      <c r="V14" s="16"/>
      <c r="W14" s="16"/>
      <c r="X14" s="16"/>
      <c r="Y14" s="16"/>
      <c r="Z14" s="16"/>
    </row>
    <row r="15" spans="1:26" ht="19.95" customHeight="1" x14ac:dyDescent="0.35">
      <c r="A15" s="21" t="s">
        <v>1</v>
      </c>
      <c r="B15" s="162"/>
      <c r="C15" s="224" t="s">
        <v>1</v>
      </c>
      <c r="D15" s="225" t="s">
        <v>1</v>
      </c>
      <c r="E15" s="226" t="s">
        <v>1</v>
      </c>
      <c r="F15" s="16"/>
      <c r="G15" s="27" t="s">
        <v>1</v>
      </c>
      <c r="H15" s="25" t="s">
        <v>1</v>
      </c>
      <c r="I15" s="25" t="s">
        <v>1</v>
      </c>
      <c r="J15" s="26" t="s">
        <v>1</v>
      </c>
      <c r="K15" s="210" t="s">
        <v>1</v>
      </c>
      <c r="L15" s="219" t="e">
        <f>H15*$K$15</f>
        <v>#VALUE!</v>
      </c>
      <c r="M15" s="215" t="e">
        <f t="shared" ref="M15:N15" si="1">I15*$K$15</f>
        <v>#VALUE!</v>
      </c>
      <c r="N15" s="220" t="e">
        <f t="shared" si="1"/>
        <v>#VALUE!</v>
      </c>
      <c r="O15" s="16"/>
      <c r="P15" s="16"/>
      <c r="Q15" s="16"/>
      <c r="R15" s="16"/>
      <c r="S15" s="16"/>
      <c r="T15" s="16"/>
      <c r="U15" s="16"/>
      <c r="V15" s="16"/>
      <c r="W15" s="16"/>
      <c r="X15" s="16"/>
      <c r="Y15" s="16"/>
      <c r="Z15" s="16"/>
    </row>
    <row r="16" spans="1:26" ht="19.95" customHeight="1" x14ac:dyDescent="0.35">
      <c r="A16" s="21" t="s">
        <v>1</v>
      </c>
      <c r="B16" s="162"/>
      <c r="C16" s="227" t="s">
        <v>1</v>
      </c>
      <c r="D16" s="209" t="s">
        <v>1</v>
      </c>
      <c r="E16" s="228" t="s">
        <v>1</v>
      </c>
      <c r="F16" s="16"/>
      <c r="G16" s="17" t="s">
        <v>1</v>
      </c>
      <c r="H16" s="25" t="s">
        <v>1</v>
      </c>
      <c r="I16" s="25" t="s">
        <v>1</v>
      </c>
      <c r="J16" s="26" t="s">
        <v>1</v>
      </c>
      <c r="K16" s="210" t="s">
        <v>1</v>
      </c>
      <c r="L16" s="219" t="e">
        <f>H16*$K$16</f>
        <v>#VALUE!</v>
      </c>
      <c r="M16" s="215" t="e">
        <f t="shared" ref="M16:N16" si="2">I16*$K$16</f>
        <v>#VALUE!</v>
      </c>
      <c r="N16" s="220" t="e">
        <f t="shared" si="2"/>
        <v>#VALUE!</v>
      </c>
      <c r="O16" s="16"/>
      <c r="P16" s="16"/>
      <c r="Q16" s="16"/>
      <c r="R16" s="16"/>
      <c r="S16" s="16"/>
      <c r="T16" s="16"/>
      <c r="U16" s="16"/>
      <c r="V16" s="16"/>
      <c r="W16" s="16"/>
      <c r="X16" s="16"/>
      <c r="Y16" s="16"/>
      <c r="Z16" s="16"/>
    </row>
    <row r="17" spans="1:26" ht="19.95" customHeight="1" x14ac:dyDescent="0.35">
      <c r="A17" s="21" t="s">
        <v>1</v>
      </c>
      <c r="B17" s="162"/>
      <c r="C17" s="229" t="s">
        <v>1</v>
      </c>
      <c r="D17" s="230" t="s">
        <v>1</v>
      </c>
      <c r="E17" s="231" t="s">
        <v>1</v>
      </c>
      <c r="F17" s="16"/>
      <c r="G17" s="17" t="s">
        <v>1</v>
      </c>
      <c r="H17" s="25" t="s">
        <v>1</v>
      </c>
      <c r="I17" s="25" t="s">
        <v>1</v>
      </c>
      <c r="J17" s="26" t="s">
        <v>1</v>
      </c>
      <c r="K17" s="210" t="s">
        <v>1</v>
      </c>
      <c r="L17" s="219" t="e">
        <f>H17*$K$17</f>
        <v>#VALUE!</v>
      </c>
      <c r="M17" s="215" t="e">
        <f t="shared" ref="M17:N17" si="3">I17*$K$17</f>
        <v>#VALUE!</v>
      </c>
      <c r="N17" s="220" t="e">
        <f t="shared" si="3"/>
        <v>#VALUE!</v>
      </c>
      <c r="O17" s="16"/>
      <c r="P17" s="16"/>
      <c r="Q17" s="16"/>
      <c r="R17" s="16"/>
      <c r="S17" s="16"/>
      <c r="T17" s="16"/>
      <c r="U17" s="16"/>
      <c r="V17" s="16"/>
      <c r="W17" s="16"/>
      <c r="X17" s="16"/>
      <c r="Y17" s="16"/>
      <c r="Z17" s="16"/>
    </row>
    <row r="18" spans="1:26" ht="19.95" customHeight="1" x14ac:dyDescent="0.35">
      <c r="A18" s="21" t="s">
        <v>1</v>
      </c>
      <c r="B18" s="162"/>
      <c r="C18" s="227" t="s">
        <v>1</v>
      </c>
      <c r="D18" s="209" t="s">
        <v>1</v>
      </c>
      <c r="E18" s="228" t="s">
        <v>1</v>
      </c>
      <c r="F18" s="16" t="s">
        <v>1</v>
      </c>
      <c r="G18" s="28"/>
      <c r="H18" s="25" t="s">
        <v>1</v>
      </c>
      <c r="I18" s="25" t="s">
        <v>1</v>
      </c>
      <c r="J18" s="26" t="s">
        <v>1</v>
      </c>
      <c r="K18" s="210" t="s">
        <v>1</v>
      </c>
      <c r="L18" s="219" t="e">
        <f>H18*$K$18</f>
        <v>#VALUE!</v>
      </c>
      <c r="M18" s="215" t="e">
        <f t="shared" ref="M18:N18" si="4">I18*$K$18</f>
        <v>#VALUE!</v>
      </c>
      <c r="N18" s="220" t="e">
        <f t="shared" si="4"/>
        <v>#VALUE!</v>
      </c>
      <c r="O18" s="16"/>
      <c r="P18" s="16"/>
      <c r="Q18" s="16"/>
      <c r="R18" s="16"/>
      <c r="S18" s="16"/>
      <c r="T18" s="16"/>
      <c r="U18" s="16"/>
      <c r="V18" s="16"/>
      <c r="W18" s="16"/>
      <c r="X18" s="16"/>
      <c r="Y18" s="16"/>
      <c r="Z18" s="16"/>
    </row>
    <row r="19" spans="1:26" ht="19.95" customHeight="1" x14ac:dyDescent="0.35">
      <c r="A19" s="21" t="s">
        <v>1</v>
      </c>
      <c r="B19" s="162"/>
      <c r="C19" s="232" t="s">
        <v>1</v>
      </c>
      <c r="D19" s="233" t="s">
        <v>1</v>
      </c>
      <c r="E19" s="234" t="s">
        <v>1</v>
      </c>
      <c r="F19" s="16"/>
      <c r="G19" s="17"/>
      <c r="H19" s="25" t="s">
        <v>1</v>
      </c>
      <c r="I19" s="25" t="s">
        <v>1</v>
      </c>
      <c r="J19" s="26" t="s">
        <v>1</v>
      </c>
      <c r="K19" s="210" t="s">
        <v>1</v>
      </c>
      <c r="L19" s="219" t="e">
        <f>H19*$K$19</f>
        <v>#VALUE!</v>
      </c>
      <c r="M19" s="215" t="e">
        <f t="shared" ref="M19:N19" si="5">I19*$K$19</f>
        <v>#VALUE!</v>
      </c>
      <c r="N19" s="220" t="e">
        <f t="shared" si="5"/>
        <v>#VALUE!</v>
      </c>
      <c r="O19" s="16"/>
      <c r="P19" s="16"/>
      <c r="Q19" s="16"/>
      <c r="R19" s="16"/>
      <c r="S19" s="16"/>
      <c r="T19" s="16"/>
      <c r="U19" s="16"/>
      <c r="V19" s="16"/>
      <c r="W19" s="16"/>
      <c r="X19" s="16"/>
      <c r="Y19" s="16"/>
      <c r="Z19" s="16"/>
    </row>
    <row r="20" spans="1:26" ht="19.95" customHeight="1" x14ac:dyDescent="0.35">
      <c r="A20" s="21"/>
      <c r="B20" s="162"/>
      <c r="C20" s="227" t="s">
        <v>1</v>
      </c>
      <c r="D20" s="209" t="s">
        <v>1</v>
      </c>
      <c r="E20" s="228" t="s">
        <v>1</v>
      </c>
      <c r="F20" s="16"/>
      <c r="G20" s="17"/>
      <c r="H20" s="25" t="s">
        <v>1</v>
      </c>
      <c r="I20" s="25" t="s">
        <v>1</v>
      </c>
      <c r="J20" s="26" t="s">
        <v>1</v>
      </c>
      <c r="K20" s="210" t="s">
        <v>1</v>
      </c>
      <c r="L20" s="219" t="e">
        <f>H20*$K$20</f>
        <v>#VALUE!</v>
      </c>
      <c r="M20" s="215" t="e">
        <f t="shared" ref="M20:N20" si="6">I20*$K$20</f>
        <v>#VALUE!</v>
      </c>
      <c r="N20" s="220" t="e">
        <f t="shared" si="6"/>
        <v>#VALUE!</v>
      </c>
      <c r="O20" s="16"/>
      <c r="P20" s="16"/>
      <c r="Q20" s="16"/>
      <c r="R20" s="16"/>
      <c r="S20" s="16"/>
      <c r="T20" s="16"/>
      <c r="U20" s="16"/>
      <c r="V20" s="16"/>
      <c r="W20" s="16"/>
      <c r="X20" s="16"/>
      <c r="Y20" s="16"/>
      <c r="Z20" s="16"/>
    </row>
    <row r="21" spans="1:26" ht="19.95" customHeight="1" thickBot="1" x14ac:dyDescent="0.4">
      <c r="A21" s="243" t="s">
        <v>1</v>
      </c>
      <c r="B21" s="209"/>
      <c r="C21" s="235" t="s">
        <v>1</v>
      </c>
      <c r="D21" s="236" t="s">
        <v>1</v>
      </c>
      <c r="E21" s="237" t="s">
        <v>1</v>
      </c>
      <c r="F21" s="30" t="s">
        <v>1</v>
      </c>
      <c r="G21" s="32"/>
      <c r="H21" s="238" t="s">
        <v>1</v>
      </c>
      <c r="I21" s="238" t="s">
        <v>1</v>
      </c>
      <c r="J21" s="239" t="s">
        <v>1</v>
      </c>
      <c r="K21" s="211" t="s">
        <v>1</v>
      </c>
      <c r="L21" s="212" t="e">
        <f>H21*$K$21</f>
        <v>#VALUE!</v>
      </c>
      <c r="M21" s="213" t="e">
        <f t="shared" ref="M21:N21" si="7">I21*$K$21</f>
        <v>#VALUE!</v>
      </c>
      <c r="N21" s="214" t="e">
        <f t="shared" si="7"/>
        <v>#VALUE!</v>
      </c>
      <c r="O21" s="16"/>
      <c r="P21" s="16"/>
      <c r="Q21" s="16"/>
      <c r="R21" s="16"/>
      <c r="S21" s="16"/>
      <c r="T21" s="16"/>
      <c r="U21" s="16"/>
      <c r="V21" s="16"/>
      <c r="W21" s="16"/>
      <c r="X21" s="16"/>
      <c r="Y21" s="16"/>
      <c r="Z21" s="16"/>
    </row>
    <row r="22" spans="1:26" ht="18.600000000000001" thickBot="1" x14ac:dyDescent="0.4">
      <c r="A22" s="18" t="s">
        <v>44</v>
      </c>
      <c r="B22" s="162"/>
      <c r="C22" s="209"/>
      <c r="D22" s="209"/>
      <c r="E22" s="209"/>
      <c r="F22" s="16"/>
      <c r="G22" s="209"/>
      <c r="H22" s="240">
        <f>SUM(H14:H21)</f>
        <v>0</v>
      </c>
      <c r="I22" s="241">
        <f t="shared" ref="I22:J22" si="8">SUM(I14:I21)</f>
        <v>0</v>
      </c>
      <c r="J22" s="242">
        <f t="shared" si="8"/>
        <v>0</v>
      </c>
      <c r="K22" s="209"/>
      <c r="L22" s="212" t="e">
        <f>SUM(L14:L21)</f>
        <v>#VALUE!</v>
      </c>
      <c r="M22" s="213" t="e">
        <f t="shared" ref="M22:N22" si="9">SUM(M14:M21)</f>
        <v>#VALUE!</v>
      </c>
      <c r="N22" s="214" t="e">
        <f t="shared" si="9"/>
        <v>#VALUE!</v>
      </c>
      <c r="O22" s="16"/>
      <c r="P22" s="16"/>
      <c r="Q22" s="16"/>
      <c r="R22" s="16"/>
      <c r="S22" s="16"/>
      <c r="T22" s="16"/>
      <c r="U22" s="16"/>
      <c r="V22" s="16"/>
      <c r="W22" s="16"/>
      <c r="X22" s="16"/>
      <c r="Y22" s="16"/>
      <c r="Z22" s="16"/>
    </row>
    <row r="23" spans="1:26" ht="18.600000000000001" thickBot="1" x14ac:dyDescent="0.4">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spans="1:26" ht="17.399999999999999"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7.399999999999999" x14ac:dyDescent="0.3">
      <c r="A25" s="4" t="s">
        <v>122</v>
      </c>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8" thickBot="1" x14ac:dyDescent="0.3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9.95" customHeight="1" thickBot="1" x14ac:dyDescent="0.35">
      <c r="B27" s="353" t="s">
        <v>123</v>
      </c>
      <c r="C27" s="354"/>
      <c r="D27" s="354"/>
      <c r="E27" s="354"/>
      <c r="F27" s="354"/>
      <c r="G27" s="354"/>
      <c r="H27" s="354"/>
      <c r="I27" s="354"/>
      <c r="J27" s="355"/>
    </row>
    <row r="28" spans="1:26" ht="19.95" customHeight="1" thickBot="1" x14ac:dyDescent="0.35">
      <c r="B28" s="153" t="s">
        <v>75</v>
      </c>
      <c r="C28" s="151" t="s">
        <v>97</v>
      </c>
      <c r="D28" s="90"/>
      <c r="E28" s="90"/>
      <c r="F28" s="90"/>
      <c r="G28" s="90"/>
      <c r="H28" s="90"/>
      <c r="I28" s="90"/>
      <c r="J28" s="91"/>
    </row>
    <row r="29" spans="1:26" ht="19.95" customHeight="1" x14ac:dyDescent="0.3">
      <c r="B29" s="154">
        <v>5</v>
      </c>
      <c r="C29" s="52"/>
      <c r="D29" s="52"/>
      <c r="E29" s="52"/>
      <c r="F29" s="52"/>
      <c r="G29" s="52"/>
      <c r="H29" s="52"/>
      <c r="I29" s="52"/>
      <c r="J29" s="53"/>
    </row>
    <row r="30" spans="1:26" ht="19.95" customHeight="1" x14ac:dyDescent="0.3">
      <c r="B30" s="155">
        <v>4</v>
      </c>
      <c r="C30" s="51"/>
      <c r="D30" s="51"/>
      <c r="E30" s="51"/>
      <c r="F30" s="51"/>
      <c r="G30" s="51"/>
      <c r="H30" s="51"/>
      <c r="I30" s="51"/>
      <c r="J30" s="57"/>
    </row>
    <row r="31" spans="1:26" ht="19.95" customHeight="1" x14ac:dyDescent="0.3">
      <c r="B31" s="155">
        <v>3</v>
      </c>
      <c r="C31" s="51"/>
      <c r="D31" s="51"/>
      <c r="E31" s="51"/>
      <c r="F31" s="51"/>
      <c r="G31" s="51"/>
      <c r="H31" s="51"/>
      <c r="I31" s="51"/>
      <c r="J31" s="57"/>
    </row>
    <row r="32" spans="1:26" ht="19.95" customHeight="1" x14ac:dyDescent="0.3">
      <c r="B32" s="155">
        <v>2</v>
      </c>
      <c r="C32" s="51"/>
      <c r="D32" s="51"/>
      <c r="E32" s="51"/>
      <c r="F32" s="51"/>
      <c r="G32" s="51"/>
      <c r="H32" s="51"/>
      <c r="I32" s="51"/>
      <c r="J32" s="57"/>
    </row>
    <row r="33" spans="2:10" ht="19.95" customHeight="1" thickBot="1" x14ac:dyDescent="0.35">
      <c r="B33" s="156">
        <v>1</v>
      </c>
      <c r="C33" s="68"/>
      <c r="D33" s="68"/>
      <c r="E33" s="68"/>
      <c r="F33" s="68"/>
      <c r="G33" s="68"/>
      <c r="H33" s="68"/>
      <c r="I33" s="68"/>
      <c r="J33" s="69"/>
    </row>
    <row r="34" spans="2:10" ht="19.95" customHeight="1" x14ac:dyDescent="0.25"/>
    <row r="35" spans="2:10" ht="19.95" customHeight="1" x14ac:dyDescent="0.25"/>
    <row r="36" spans="2:10" ht="19.95" customHeight="1" x14ac:dyDescent="0.25"/>
    <row r="37" spans="2:10" ht="19.95" customHeight="1" x14ac:dyDescent="0.25"/>
    <row r="38" spans="2:10" ht="19.95" customHeight="1" x14ac:dyDescent="0.25"/>
    <row r="39" spans="2:10" ht="19.95" customHeight="1" x14ac:dyDescent="0.25"/>
    <row r="40" spans="2:10" ht="19.95" customHeight="1" x14ac:dyDescent="0.25"/>
    <row r="41" spans="2:10" ht="19.95" customHeight="1" x14ac:dyDescent="0.25"/>
    <row r="42" spans="2:10" ht="19.95" customHeight="1" x14ac:dyDescent="0.25"/>
    <row r="43" spans="2:10" ht="19.95" customHeight="1" x14ac:dyDescent="0.25"/>
    <row r="44" spans="2:10" ht="19.95" customHeight="1" x14ac:dyDescent="0.25"/>
    <row r="45" spans="2:10" ht="19.95" customHeight="1" x14ac:dyDescent="0.25"/>
    <row r="46" spans="2:10" ht="19.95" customHeight="1" x14ac:dyDescent="0.25"/>
    <row r="47" spans="2:10" ht="19.95" customHeight="1" x14ac:dyDescent="0.25"/>
    <row r="48" spans="2:10" ht="19.95" customHeight="1" x14ac:dyDescent="0.25"/>
    <row r="49" ht="19.95" customHeight="1" x14ac:dyDescent="0.25"/>
    <row r="50" ht="19.95" customHeight="1" x14ac:dyDescent="0.25"/>
    <row r="51" ht="19.95" customHeight="1" x14ac:dyDescent="0.25"/>
    <row r="52" ht="19.95" customHeight="1" x14ac:dyDescent="0.25"/>
    <row r="53" ht="19.95" customHeight="1" x14ac:dyDescent="0.25"/>
    <row r="54" ht="19.95" customHeight="1" x14ac:dyDescent="0.25"/>
    <row r="55" ht="19.95" customHeight="1" x14ac:dyDescent="0.25"/>
    <row r="56" ht="19.95" customHeight="1" x14ac:dyDescent="0.25"/>
  </sheetData>
  <mergeCells count="8">
    <mergeCell ref="L12:N12"/>
    <mergeCell ref="B27:J27"/>
    <mergeCell ref="A1:I1"/>
    <mergeCell ref="A2:I2"/>
    <mergeCell ref="A7:I7"/>
    <mergeCell ref="A8:I8"/>
    <mergeCell ref="C12:E12"/>
    <mergeCell ref="H12: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DEB3E-C6E3-409C-A6E7-50DA0C3FE862}">
  <sheetPr>
    <outlinePr summaryBelow="0" summaryRight="0"/>
  </sheetPr>
  <dimension ref="A1:AM78"/>
  <sheetViews>
    <sheetView tabSelected="1" zoomScale="55" zoomScaleNormal="55" workbookViewId="0">
      <selection activeCell="R9" sqref="R9"/>
    </sheetView>
  </sheetViews>
  <sheetFormatPr defaultColWidth="14.44140625" defaultRowHeight="13.2" x14ac:dyDescent="0.25"/>
  <cols>
    <col min="1" max="1" width="46.33203125" style="247" customWidth="1"/>
    <col min="2" max="20" width="14.44140625" style="247"/>
    <col min="21" max="21" width="37.77734375" style="247" hidden="1" customWidth="1"/>
    <col min="22" max="39" width="0" style="247" hidden="1" customWidth="1"/>
    <col min="40" max="16384" width="14.44140625" style="247"/>
  </cols>
  <sheetData>
    <row r="1" spans="1:39" x14ac:dyDescent="0.25">
      <c r="A1" s="391" t="s">
        <v>124</v>
      </c>
      <c r="B1" s="392"/>
      <c r="C1" s="392"/>
      <c r="D1" s="392"/>
      <c r="E1" s="392"/>
      <c r="F1" s="392"/>
      <c r="G1" s="392"/>
      <c r="H1" s="392"/>
      <c r="I1" s="392"/>
      <c r="J1" s="392"/>
      <c r="L1" s="248"/>
      <c r="M1" s="248"/>
      <c r="N1" s="248"/>
      <c r="O1" s="248"/>
      <c r="P1" s="248"/>
      <c r="Q1" s="248"/>
      <c r="R1" s="248"/>
      <c r="S1" s="248"/>
      <c r="T1" s="248"/>
      <c r="U1" s="248"/>
      <c r="V1" s="248"/>
      <c r="W1" s="248"/>
      <c r="X1" s="248"/>
      <c r="Y1" s="248"/>
      <c r="Z1" s="248"/>
      <c r="AA1" s="248"/>
      <c r="AB1" s="248"/>
      <c r="AC1" s="248"/>
      <c r="AD1" s="248"/>
    </row>
    <row r="2" spans="1:39" x14ac:dyDescent="0.25">
      <c r="A2" s="393" t="s">
        <v>2</v>
      </c>
      <c r="B2" s="392"/>
      <c r="C2" s="392"/>
      <c r="D2" s="392"/>
      <c r="E2" s="392"/>
      <c r="F2" s="392"/>
      <c r="G2" s="392"/>
      <c r="H2" s="392"/>
      <c r="I2" s="392"/>
      <c r="J2" s="392"/>
      <c r="L2" s="248"/>
      <c r="M2" s="248"/>
      <c r="N2" s="248"/>
      <c r="O2" s="248"/>
      <c r="P2" s="248"/>
      <c r="Q2" s="248"/>
      <c r="R2" s="248"/>
      <c r="S2" s="248"/>
      <c r="T2" s="248"/>
      <c r="U2" s="248"/>
      <c r="V2" s="248"/>
      <c r="W2" s="248"/>
      <c r="X2" s="248"/>
      <c r="Y2" s="248"/>
      <c r="Z2" s="248"/>
      <c r="AA2" s="248"/>
      <c r="AB2" s="248"/>
      <c r="AC2" s="248"/>
      <c r="AD2" s="248"/>
    </row>
    <row r="3" spans="1:39" ht="22.8" x14ac:dyDescent="0.25">
      <c r="A3" s="249" t="s">
        <v>4</v>
      </c>
      <c r="B3" s="250"/>
      <c r="C3" s="250"/>
      <c r="D3" s="250"/>
      <c r="E3" s="314"/>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row>
    <row r="4" spans="1:39" ht="21" x14ac:dyDescent="0.25">
      <c r="A4" s="251" t="s">
        <v>6</v>
      </c>
      <c r="B4" s="250"/>
      <c r="C4" s="250"/>
      <c r="D4" s="248"/>
      <c r="E4" s="248"/>
      <c r="F4" s="248"/>
      <c r="G4" s="248"/>
      <c r="H4" s="248"/>
      <c r="I4" s="248"/>
      <c r="J4" s="248"/>
      <c r="K4" s="248"/>
      <c r="L4" s="248"/>
      <c r="M4" s="248"/>
      <c r="N4" s="248"/>
      <c r="O4" s="248"/>
      <c r="P4" s="248"/>
      <c r="Q4" s="248"/>
      <c r="R4" s="248"/>
      <c r="S4" s="248"/>
      <c r="T4" s="248"/>
      <c r="U4" s="248"/>
      <c r="V4" s="248"/>
      <c r="W4" s="248"/>
      <c r="X4" s="248"/>
      <c r="Y4" s="248"/>
      <c r="Z4" s="248"/>
      <c r="AA4" s="248"/>
      <c r="AB4" s="248"/>
      <c r="AC4" s="248"/>
      <c r="AD4" s="248"/>
    </row>
    <row r="5" spans="1:39" x14ac:dyDescent="0.25">
      <c r="A5" s="248"/>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c r="AD5" s="248"/>
    </row>
    <row r="6" spans="1:39" ht="17.399999999999999" x14ac:dyDescent="0.25">
      <c r="A6" s="252" t="s">
        <v>7</v>
      </c>
      <c r="B6" s="248"/>
      <c r="C6" s="248"/>
      <c r="D6" s="248"/>
      <c r="E6" s="248"/>
      <c r="F6" s="248"/>
      <c r="G6" s="248"/>
      <c r="H6" s="248"/>
      <c r="I6" s="248"/>
      <c r="J6" s="248"/>
      <c r="K6" s="248"/>
      <c r="L6" s="248"/>
      <c r="M6" s="248"/>
      <c r="N6" s="248"/>
      <c r="O6" s="248"/>
      <c r="P6" s="248"/>
      <c r="Q6" s="248"/>
      <c r="R6" s="248"/>
      <c r="S6" s="248"/>
      <c r="T6" s="248"/>
      <c r="U6" s="248"/>
      <c r="V6" s="248"/>
      <c r="W6" s="248"/>
      <c r="X6" s="248"/>
      <c r="Y6" s="248"/>
      <c r="Z6" s="248"/>
      <c r="AA6" s="248"/>
      <c r="AB6" s="248"/>
      <c r="AC6" s="248"/>
      <c r="AD6" s="248"/>
    </row>
    <row r="7" spans="1:39" x14ac:dyDescent="0.25">
      <c r="A7" s="394" t="s">
        <v>119</v>
      </c>
      <c r="B7" s="392"/>
      <c r="C7" s="392"/>
      <c r="D7" s="392"/>
      <c r="E7" s="392"/>
      <c r="F7" s="392"/>
      <c r="G7" s="392"/>
      <c r="H7" s="392"/>
      <c r="I7" s="392"/>
      <c r="J7" s="392"/>
      <c r="L7" s="248"/>
      <c r="M7" s="248"/>
      <c r="N7" s="248"/>
      <c r="O7" s="248"/>
      <c r="P7" s="248"/>
      <c r="Q7" s="248"/>
      <c r="R7" s="248"/>
      <c r="S7" s="248"/>
      <c r="T7" s="248"/>
      <c r="U7" s="248"/>
      <c r="V7" s="248"/>
      <c r="W7" s="248"/>
      <c r="X7" s="248"/>
      <c r="Y7" s="248"/>
      <c r="Z7" s="248"/>
      <c r="AA7" s="248"/>
      <c r="AB7" s="248"/>
      <c r="AC7" s="248"/>
      <c r="AD7" s="248"/>
    </row>
    <row r="8" spans="1:39" x14ac:dyDescent="0.25">
      <c r="A8" s="394" t="s">
        <v>120</v>
      </c>
      <c r="B8" s="392"/>
      <c r="C8" s="392"/>
      <c r="D8" s="392"/>
      <c r="E8" s="392"/>
      <c r="F8" s="392"/>
      <c r="G8" s="392"/>
      <c r="H8" s="392"/>
      <c r="I8" s="392"/>
      <c r="J8" s="392"/>
      <c r="L8" s="248"/>
      <c r="M8" s="248"/>
      <c r="N8" s="248"/>
      <c r="O8" s="248"/>
      <c r="P8" s="248"/>
      <c r="Q8" s="248"/>
      <c r="R8" s="248"/>
      <c r="S8" s="248"/>
      <c r="T8" s="248"/>
      <c r="U8" s="248"/>
      <c r="V8" s="248"/>
      <c r="W8" s="248"/>
      <c r="X8" s="248"/>
      <c r="Y8" s="248"/>
      <c r="Z8" s="248"/>
      <c r="AA8" s="248"/>
      <c r="AB8" s="248"/>
      <c r="AC8" s="248"/>
      <c r="AD8" s="248"/>
    </row>
    <row r="9" spans="1:39" ht="17.399999999999999" x14ac:dyDescent="0.25">
      <c r="A9" s="253"/>
      <c r="B9" s="250"/>
      <c r="C9" s="250"/>
      <c r="D9" s="250"/>
      <c r="E9" s="314"/>
      <c r="F9" s="250"/>
      <c r="G9" s="248"/>
      <c r="H9" s="248"/>
      <c r="I9" s="248"/>
      <c r="J9" s="248"/>
      <c r="K9" s="248"/>
      <c r="L9" s="248"/>
      <c r="M9" s="248"/>
      <c r="N9" s="248"/>
      <c r="O9" s="248"/>
      <c r="P9" s="248"/>
      <c r="Q9" s="248"/>
      <c r="R9" s="248"/>
      <c r="S9" s="248"/>
      <c r="T9" s="248"/>
      <c r="U9" s="248"/>
      <c r="V9" s="248"/>
      <c r="W9" s="248"/>
      <c r="X9" s="248"/>
      <c r="Y9" s="248"/>
      <c r="Z9" s="248"/>
      <c r="AA9" s="248"/>
      <c r="AB9" s="248"/>
      <c r="AC9" s="248"/>
      <c r="AD9" s="248"/>
    </row>
    <row r="10" spans="1:39" ht="17.399999999999999" hidden="1" x14ac:dyDescent="0.25">
      <c r="A10" s="331"/>
      <c r="B10" s="314"/>
      <c r="C10" s="395" t="s">
        <v>173</v>
      </c>
      <c r="D10" s="396"/>
      <c r="E10" s="396"/>
      <c r="F10" s="396"/>
      <c r="G10" s="396"/>
      <c r="H10" s="396"/>
      <c r="I10" s="396"/>
      <c r="J10" s="396"/>
      <c r="K10" s="396"/>
      <c r="L10" s="396"/>
      <c r="M10" s="396"/>
      <c r="N10" s="396"/>
      <c r="O10" s="396"/>
      <c r="P10" s="396"/>
      <c r="Q10" s="396"/>
      <c r="R10" s="396"/>
      <c r="S10" s="248"/>
      <c r="T10" s="248"/>
      <c r="U10" s="248"/>
      <c r="V10" s="248"/>
      <c r="W10" s="248"/>
      <c r="X10" s="248"/>
      <c r="Y10" s="248"/>
      <c r="Z10" s="248"/>
      <c r="AA10" s="248"/>
      <c r="AB10" s="248"/>
      <c r="AC10" s="248"/>
      <c r="AD10" s="248"/>
    </row>
    <row r="11" spans="1:39" ht="17.399999999999999" x14ac:dyDescent="0.25">
      <c r="A11" s="254"/>
      <c r="B11" s="255"/>
      <c r="C11" s="255"/>
      <c r="D11" s="255"/>
      <c r="E11" s="255"/>
      <c r="F11" s="255"/>
      <c r="G11" s="255"/>
      <c r="H11" s="255"/>
      <c r="I11" s="255"/>
      <c r="J11" s="255"/>
      <c r="K11" s="314"/>
      <c r="L11" s="248"/>
      <c r="M11" s="248"/>
      <c r="N11" s="248"/>
      <c r="O11" s="248"/>
      <c r="P11" s="248"/>
      <c r="Q11" s="248"/>
      <c r="R11" s="248"/>
      <c r="S11" s="248"/>
      <c r="T11" s="248"/>
      <c r="U11" s="248"/>
      <c r="V11" s="248"/>
      <c r="W11" s="248"/>
      <c r="X11" s="248"/>
      <c r="Y11" s="248"/>
      <c r="Z11" s="248"/>
      <c r="AA11" s="248"/>
      <c r="AB11" s="248"/>
      <c r="AC11" s="248"/>
      <c r="AD11" s="248"/>
    </row>
    <row r="12" spans="1:39" ht="18" thickBot="1" x14ac:dyDescent="0.3">
      <c r="A12" s="256"/>
      <c r="B12" s="256"/>
      <c r="C12" s="256"/>
      <c r="D12" s="256"/>
      <c r="E12" s="256"/>
      <c r="F12" s="256"/>
      <c r="G12" s="256"/>
      <c r="H12" s="256"/>
      <c r="I12" s="256"/>
      <c r="J12" s="256"/>
      <c r="K12" s="256"/>
      <c r="L12" s="256"/>
      <c r="M12" s="256"/>
      <c r="N12" s="256"/>
      <c r="O12" s="256"/>
      <c r="P12" s="256"/>
      <c r="Q12" s="256"/>
      <c r="R12" s="256"/>
      <c r="S12" s="256"/>
      <c r="T12" s="256"/>
      <c r="U12" s="256"/>
      <c r="V12" s="256"/>
      <c r="W12" s="256"/>
      <c r="X12" s="256"/>
      <c r="Y12" s="256"/>
      <c r="Z12" s="256"/>
      <c r="AA12" s="256"/>
      <c r="AB12" s="256"/>
      <c r="AC12" s="256"/>
      <c r="AD12" s="256"/>
    </row>
    <row r="13" spans="1:39" ht="18.600000000000001" thickBot="1" x14ac:dyDescent="0.3">
      <c r="A13" s="257"/>
      <c r="B13" s="258"/>
      <c r="C13" s="363" t="s">
        <v>100</v>
      </c>
      <c r="D13" s="364"/>
      <c r="E13" s="364"/>
      <c r="F13" s="365"/>
      <c r="G13" s="259"/>
      <c r="H13" s="260"/>
      <c r="I13" s="363" t="s">
        <v>101</v>
      </c>
      <c r="J13" s="364"/>
      <c r="K13" s="364"/>
      <c r="L13" s="365"/>
      <c r="M13" s="336"/>
      <c r="N13" s="260"/>
      <c r="O13" s="366" t="s">
        <v>102</v>
      </c>
      <c r="P13" s="367"/>
      <c r="Q13" s="368"/>
      <c r="R13" s="369"/>
      <c r="S13" s="261" t="s">
        <v>16</v>
      </c>
      <c r="T13" s="257"/>
      <c r="U13" s="257"/>
      <c r="V13" s="258"/>
      <c r="W13" s="363" t="s">
        <v>100</v>
      </c>
      <c r="X13" s="364"/>
      <c r="Y13" s="364"/>
      <c r="Z13" s="365"/>
      <c r="AA13" s="259"/>
      <c r="AB13" s="260"/>
      <c r="AC13" s="363" t="s">
        <v>101</v>
      </c>
      <c r="AD13" s="364"/>
      <c r="AE13" s="364"/>
      <c r="AF13" s="365"/>
      <c r="AG13" s="336"/>
      <c r="AH13" s="260"/>
      <c r="AI13" s="366" t="s">
        <v>102</v>
      </c>
      <c r="AJ13" s="367"/>
      <c r="AK13" s="368"/>
      <c r="AL13" s="369"/>
      <c r="AM13" s="261" t="s">
        <v>16</v>
      </c>
    </row>
    <row r="14" spans="1:39" ht="72.599999999999994" thickBot="1" x14ac:dyDescent="0.3">
      <c r="A14" s="262" t="s">
        <v>76</v>
      </c>
      <c r="B14" s="317" t="s">
        <v>136</v>
      </c>
      <c r="C14" s="324" t="s">
        <v>151</v>
      </c>
      <c r="D14" s="329" t="s">
        <v>152</v>
      </c>
      <c r="E14" s="277" t="s">
        <v>134</v>
      </c>
      <c r="F14" s="278" t="s">
        <v>135</v>
      </c>
      <c r="G14" s="279" t="s">
        <v>19</v>
      </c>
      <c r="H14" s="280" t="s">
        <v>20</v>
      </c>
      <c r="I14" s="276" t="s">
        <v>133</v>
      </c>
      <c r="J14" s="329" t="s">
        <v>152</v>
      </c>
      <c r="K14" s="277" t="s">
        <v>134</v>
      </c>
      <c r="L14" s="278" t="s">
        <v>135</v>
      </c>
      <c r="M14" s="281" t="s">
        <v>11</v>
      </c>
      <c r="N14" s="340" t="s">
        <v>174</v>
      </c>
      <c r="O14" s="276" t="s">
        <v>133</v>
      </c>
      <c r="P14" s="329" t="s">
        <v>152</v>
      </c>
      <c r="Q14" s="277" t="s">
        <v>134</v>
      </c>
      <c r="R14" s="278" t="s">
        <v>135</v>
      </c>
      <c r="S14" s="263"/>
      <c r="T14" s="257"/>
      <c r="U14" s="262" t="s">
        <v>76</v>
      </c>
      <c r="V14" s="317" t="s">
        <v>136</v>
      </c>
      <c r="W14" s="324" t="s">
        <v>151</v>
      </c>
      <c r="X14" s="329" t="s">
        <v>152</v>
      </c>
      <c r="Y14" s="277" t="s">
        <v>134</v>
      </c>
      <c r="Z14" s="278" t="s">
        <v>135</v>
      </c>
      <c r="AA14" s="279" t="s">
        <v>19</v>
      </c>
      <c r="AB14" s="280" t="s">
        <v>20</v>
      </c>
      <c r="AC14" s="276" t="s">
        <v>133</v>
      </c>
      <c r="AD14" s="329" t="s">
        <v>152</v>
      </c>
      <c r="AE14" s="277" t="s">
        <v>134</v>
      </c>
      <c r="AF14" s="278" t="s">
        <v>135</v>
      </c>
      <c r="AG14" s="281" t="s">
        <v>11</v>
      </c>
      <c r="AH14" s="340" t="s">
        <v>174</v>
      </c>
      <c r="AI14" s="276" t="s">
        <v>133</v>
      </c>
      <c r="AJ14" s="329" t="s">
        <v>152</v>
      </c>
      <c r="AK14" s="277" t="s">
        <v>134</v>
      </c>
      <c r="AL14" s="278" t="s">
        <v>135</v>
      </c>
      <c r="AM14" s="263"/>
    </row>
    <row r="15" spans="1:39" ht="72" x14ac:dyDescent="0.25">
      <c r="A15" s="274" t="s">
        <v>125</v>
      </c>
      <c r="B15" s="316">
        <v>1</v>
      </c>
      <c r="C15" s="291">
        <v>1</v>
      </c>
      <c r="D15" s="292">
        <v>2</v>
      </c>
      <c r="E15" s="292">
        <v>2</v>
      </c>
      <c r="F15" s="293">
        <v>3</v>
      </c>
      <c r="G15" s="294">
        <v>1</v>
      </c>
      <c r="H15" s="295">
        <v>3</v>
      </c>
      <c r="I15" s="296">
        <f>(C15-$G15)/$H15</f>
        <v>0</v>
      </c>
      <c r="J15" s="296">
        <f t="shared" ref="J15" si="0">(D15-$G$15)/$H$15</f>
        <v>0.33333333333333331</v>
      </c>
      <c r="K15" s="296">
        <f>(E15-$G$15)/$H$15</f>
        <v>0.33333333333333331</v>
      </c>
      <c r="L15" s="330">
        <f>(F15-$G$15)/$H$15</f>
        <v>0.66666666666666663</v>
      </c>
      <c r="M15" s="337">
        <v>60</v>
      </c>
      <c r="N15" s="338">
        <f>IF(ISBLANK(M15),"",M15/SUM($M$15:$M$24))</f>
        <v>0.13953488372093023</v>
      </c>
      <c r="O15" s="282">
        <f>I15*$N15</f>
        <v>0</v>
      </c>
      <c r="P15" s="283">
        <f>J15*$N$15</f>
        <v>4.6511627906976744E-2</v>
      </c>
      <c r="Q15" s="283">
        <f>K15*$N$15</f>
        <v>4.6511627906976744E-2</v>
      </c>
      <c r="R15" s="284">
        <f>L15*$N$15</f>
        <v>9.3023255813953487E-2</v>
      </c>
      <c r="S15" s="257"/>
      <c r="T15" s="257"/>
      <c r="U15" s="274" t="s">
        <v>125</v>
      </c>
      <c r="V15" s="316">
        <v>1</v>
      </c>
      <c r="W15" s="291">
        <v>1</v>
      </c>
      <c r="X15" s="292">
        <v>2</v>
      </c>
      <c r="Y15" s="292">
        <v>2</v>
      </c>
      <c r="Z15" s="293">
        <v>3</v>
      </c>
      <c r="AA15" s="294">
        <v>1</v>
      </c>
      <c r="AB15" s="295">
        <v>3</v>
      </c>
      <c r="AC15" s="296">
        <f>(W15-$G15)/$H15</f>
        <v>0</v>
      </c>
      <c r="AD15" s="296">
        <f t="shared" ref="AD15" si="1">(X15-$G$15)/$H$15</f>
        <v>0.33333333333333331</v>
      </c>
      <c r="AE15" s="296">
        <f>(Y15-$G$15)/$H$15</f>
        <v>0.33333333333333331</v>
      </c>
      <c r="AF15" s="330">
        <f>(Z15-$G$15)/$H$15</f>
        <v>0.66666666666666663</v>
      </c>
      <c r="AG15" s="337">
        <v>60</v>
      </c>
      <c r="AH15" s="338">
        <f>IF(ISBLANK(AG15),"",AG15/SUM($M$15:$M$24))</f>
        <v>0.13953488372093023</v>
      </c>
      <c r="AI15" s="282">
        <f>AC15*$N15</f>
        <v>0</v>
      </c>
      <c r="AJ15" s="283">
        <f>AD15*$N$15</f>
        <v>4.6511627906976744E-2</v>
      </c>
      <c r="AK15" s="283">
        <f>AE15*$N$15</f>
        <v>4.6511627906976744E-2</v>
      </c>
      <c r="AL15" s="284">
        <f>AF15*$N$15</f>
        <v>9.3023255813953487E-2</v>
      </c>
      <c r="AM15" s="257"/>
    </row>
    <row r="16" spans="1:39" ht="54" x14ac:dyDescent="0.25">
      <c r="A16" s="274" t="s">
        <v>126</v>
      </c>
      <c r="B16" s="316">
        <v>2</v>
      </c>
      <c r="C16" s="322">
        <v>1</v>
      </c>
      <c r="D16" s="298">
        <v>2</v>
      </c>
      <c r="E16" s="298">
        <v>2</v>
      </c>
      <c r="F16" s="323">
        <v>3</v>
      </c>
      <c r="G16" s="294">
        <v>1</v>
      </c>
      <c r="H16" s="311">
        <v>3</v>
      </c>
      <c r="I16" s="296">
        <f>(C16-$G$16)/$H$16</f>
        <v>0</v>
      </c>
      <c r="J16" s="296">
        <f t="shared" ref="J16:K16" si="2">(D16-$G$16)/$H$16</f>
        <v>0.33333333333333331</v>
      </c>
      <c r="K16" s="296">
        <f t="shared" si="2"/>
        <v>0.33333333333333331</v>
      </c>
      <c r="L16" s="297">
        <f>(F16-G16)/H16</f>
        <v>0.66666666666666663</v>
      </c>
      <c r="M16" s="337">
        <v>60</v>
      </c>
      <c r="N16" s="338">
        <f t="shared" ref="N16:N22" si="3">IF(ISBLANK(M16),"",M16/SUM($M$15:$M$24))</f>
        <v>0.13953488372093023</v>
      </c>
      <c r="O16" s="285">
        <f>I16*$N$16</f>
        <v>0</v>
      </c>
      <c r="P16" s="286">
        <f>J16*$N16</f>
        <v>4.6511627906976744E-2</v>
      </c>
      <c r="Q16" s="286">
        <f>K16*$N$16</f>
        <v>4.6511627906976744E-2</v>
      </c>
      <c r="R16" s="287">
        <f>L16*$N$16</f>
        <v>9.3023255813953487E-2</v>
      </c>
      <c r="S16" s="257"/>
      <c r="T16" s="257"/>
      <c r="U16" s="274" t="s">
        <v>126</v>
      </c>
      <c r="V16" s="316">
        <v>2</v>
      </c>
      <c r="W16" s="322">
        <v>1</v>
      </c>
      <c r="X16" s="298">
        <v>2</v>
      </c>
      <c r="Y16" s="298">
        <v>2</v>
      </c>
      <c r="Z16" s="323">
        <v>3</v>
      </c>
      <c r="AA16" s="294">
        <v>1</v>
      </c>
      <c r="AB16" s="311">
        <v>3</v>
      </c>
      <c r="AC16" s="296">
        <f>(W16-$G$16)/$H$16</f>
        <v>0</v>
      </c>
      <c r="AD16" s="296">
        <f t="shared" ref="AD16" si="4">(X16-$G$16)/$H$16</f>
        <v>0.33333333333333331</v>
      </c>
      <c r="AE16" s="296">
        <f t="shared" ref="AE16" si="5">(Y16-$G$16)/$H$16</f>
        <v>0.33333333333333331</v>
      </c>
      <c r="AF16" s="297">
        <f>(Z16-AA16)/AB16</f>
        <v>0.66666666666666663</v>
      </c>
      <c r="AG16" s="337">
        <v>60</v>
      </c>
      <c r="AH16" s="338">
        <f t="shared" ref="AH16:AH22" si="6">IF(ISBLANK(AG16),"",AG16/SUM($M$15:$M$24))</f>
        <v>0.13953488372093023</v>
      </c>
      <c r="AI16" s="285">
        <f>AC16*$N$16</f>
        <v>0</v>
      </c>
      <c r="AJ16" s="286">
        <f>AD16*$N16</f>
        <v>4.6511627906976744E-2</v>
      </c>
      <c r="AK16" s="286">
        <f>AE16*$N$16</f>
        <v>4.6511627906976744E-2</v>
      </c>
      <c r="AL16" s="287">
        <f>AF16*$N$16</f>
        <v>9.3023255813953487E-2</v>
      </c>
      <c r="AM16" s="257"/>
    </row>
    <row r="17" spans="1:39" ht="90" x14ac:dyDescent="0.25">
      <c r="A17" s="274" t="s">
        <v>127</v>
      </c>
      <c r="B17" s="316">
        <v>3</v>
      </c>
      <c r="C17" s="299">
        <v>1</v>
      </c>
      <c r="D17" s="300">
        <v>2</v>
      </c>
      <c r="E17" s="300">
        <v>5</v>
      </c>
      <c r="F17" s="301">
        <v>5</v>
      </c>
      <c r="G17" s="294">
        <v>1</v>
      </c>
      <c r="H17" s="295">
        <v>5</v>
      </c>
      <c r="I17" s="296">
        <f>(C17-$G17)/$H17</f>
        <v>0</v>
      </c>
      <c r="J17" s="296">
        <f t="shared" ref="J17:K20" si="7">(D17-$G17)/$H17</f>
        <v>0.2</v>
      </c>
      <c r="K17" s="296">
        <f t="shared" si="7"/>
        <v>0.8</v>
      </c>
      <c r="L17" s="297">
        <f t="shared" ref="L17:L23" si="8">(F17-G17)/H17</f>
        <v>0.8</v>
      </c>
      <c r="M17" s="337">
        <v>50</v>
      </c>
      <c r="N17" s="338">
        <f t="shared" si="3"/>
        <v>0.11627906976744186</v>
      </c>
      <c r="O17" s="285">
        <f>I17*$N$17</f>
        <v>0</v>
      </c>
      <c r="P17" s="286">
        <f t="shared" ref="P17:P23" si="9">J17*$N17</f>
        <v>2.3255813953488372E-2</v>
      </c>
      <c r="Q17" s="286">
        <f>K17*$N$17</f>
        <v>9.3023255813953487E-2</v>
      </c>
      <c r="R17" s="287">
        <f>L17*$N$17</f>
        <v>9.3023255813953487E-2</v>
      </c>
      <c r="S17" s="257"/>
      <c r="T17" s="257"/>
      <c r="U17" s="274" t="s">
        <v>127</v>
      </c>
      <c r="V17" s="316">
        <v>3</v>
      </c>
      <c r="W17" s="299">
        <v>1</v>
      </c>
      <c r="X17" s="300">
        <v>2</v>
      </c>
      <c r="Y17" s="300">
        <v>5</v>
      </c>
      <c r="Z17" s="301">
        <v>5</v>
      </c>
      <c r="AA17" s="294">
        <v>1</v>
      </c>
      <c r="AB17" s="295">
        <v>5</v>
      </c>
      <c r="AC17" s="296">
        <f>(W17-$G17)/$H17</f>
        <v>0</v>
      </c>
      <c r="AD17" s="296">
        <f t="shared" ref="AD17:AD21" si="10">(X17-$G17)/$H17</f>
        <v>0.2</v>
      </c>
      <c r="AE17" s="296">
        <f t="shared" ref="AE17:AE21" si="11">(Y17-$G17)/$H17</f>
        <v>0.8</v>
      </c>
      <c r="AF17" s="297">
        <f t="shared" ref="AF17:AF21" si="12">(Z17-AA17)/AB17</f>
        <v>0.8</v>
      </c>
      <c r="AG17" s="337">
        <v>50</v>
      </c>
      <c r="AH17" s="338">
        <f t="shared" si="6"/>
        <v>0.11627906976744186</v>
      </c>
      <c r="AI17" s="285">
        <f>AC17*$N$17</f>
        <v>0</v>
      </c>
      <c r="AJ17" s="286">
        <f t="shared" ref="AJ17:AJ23" si="13">AD17*$N17</f>
        <v>2.3255813953488372E-2</v>
      </c>
      <c r="AK17" s="286">
        <f>AE17*$N$17</f>
        <v>9.3023255813953487E-2</v>
      </c>
      <c r="AL17" s="287">
        <f>AF17*$N$17</f>
        <v>9.3023255813953487E-2</v>
      </c>
      <c r="AM17" s="257"/>
    </row>
    <row r="18" spans="1:39" ht="54" x14ac:dyDescent="0.25">
      <c r="A18" s="274" t="s">
        <v>128</v>
      </c>
      <c r="B18" s="316">
        <v>4</v>
      </c>
      <c r="C18" s="322">
        <v>1</v>
      </c>
      <c r="D18" s="298">
        <v>1</v>
      </c>
      <c r="E18" s="298">
        <v>3</v>
      </c>
      <c r="F18" s="323">
        <v>3</v>
      </c>
      <c r="G18" s="294">
        <v>1</v>
      </c>
      <c r="H18" s="295">
        <v>3</v>
      </c>
      <c r="I18" s="296">
        <f t="shared" ref="I18:K23" si="14">(C18-$G18)/$H18</f>
        <v>0</v>
      </c>
      <c r="J18" s="296">
        <f t="shared" si="7"/>
        <v>0</v>
      </c>
      <c r="K18" s="296">
        <f t="shared" si="7"/>
        <v>0.66666666666666663</v>
      </c>
      <c r="L18" s="297">
        <f t="shared" si="8"/>
        <v>0.66666666666666663</v>
      </c>
      <c r="M18" s="337">
        <v>40</v>
      </c>
      <c r="N18" s="338">
        <f t="shared" si="3"/>
        <v>9.3023255813953487E-2</v>
      </c>
      <c r="O18" s="285">
        <f>I18*$N$18</f>
        <v>0</v>
      </c>
      <c r="P18" s="286">
        <f t="shared" si="9"/>
        <v>0</v>
      </c>
      <c r="Q18" s="286">
        <f>K18*$N$18</f>
        <v>6.2015503875968991E-2</v>
      </c>
      <c r="R18" s="287">
        <f>L18*$N$18</f>
        <v>6.2015503875968991E-2</v>
      </c>
      <c r="S18" s="257"/>
      <c r="T18" s="257"/>
      <c r="U18" s="274" t="s">
        <v>128</v>
      </c>
      <c r="V18" s="316">
        <v>4</v>
      </c>
      <c r="W18" s="322">
        <v>1</v>
      </c>
      <c r="X18" s="298">
        <v>1</v>
      </c>
      <c r="Y18" s="298">
        <v>3</v>
      </c>
      <c r="Z18" s="323">
        <v>3</v>
      </c>
      <c r="AA18" s="294">
        <v>1</v>
      </c>
      <c r="AB18" s="295">
        <v>3</v>
      </c>
      <c r="AC18" s="296">
        <f t="shared" ref="AC18:AC21" si="15">(W18-$G18)/$H18</f>
        <v>0</v>
      </c>
      <c r="AD18" s="296">
        <f t="shared" si="10"/>
        <v>0</v>
      </c>
      <c r="AE18" s="296">
        <f t="shared" si="11"/>
        <v>0.66666666666666663</v>
      </c>
      <c r="AF18" s="297">
        <f t="shared" si="12"/>
        <v>0.66666666666666663</v>
      </c>
      <c r="AG18" s="337">
        <v>40</v>
      </c>
      <c r="AH18" s="338">
        <f t="shared" si="6"/>
        <v>9.3023255813953487E-2</v>
      </c>
      <c r="AI18" s="285">
        <f>AC18*$N$18</f>
        <v>0</v>
      </c>
      <c r="AJ18" s="286">
        <f t="shared" si="13"/>
        <v>0</v>
      </c>
      <c r="AK18" s="286">
        <f>AE18*$N$18</f>
        <v>6.2015503875968991E-2</v>
      </c>
      <c r="AL18" s="287">
        <f>AF18*$N$18</f>
        <v>6.2015503875968991E-2</v>
      </c>
      <c r="AM18" s="257"/>
    </row>
    <row r="19" spans="1:39" ht="36" x14ac:dyDescent="0.25">
      <c r="A19" s="274" t="s">
        <v>129</v>
      </c>
      <c r="B19" s="316">
        <v>5</v>
      </c>
      <c r="C19" s="299">
        <v>1</v>
      </c>
      <c r="D19" s="300">
        <v>1</v>
      </c>
      <c r="E19" s="300">
        <v>3</v>
      </c>
      <c r="F19" s="301">
        <v>2</v>
      </c>
      <c r="G19" s="294">
        <v>1</v>
      </c>
      <c r="H19" s="295">
        <v>3</v>
      </c>
      <c r="I19" s="296">
        <f t="shared" si="14"/>
        <v>0</v>
      </c>
      <c r="J19" s="296">
        <f t="shared" si="7"/>
        <v>0</v>
      </c>
      <c r="K19" s="296">
        <f t="shared" si="7"/>
        <v>0.66666666666666663</v>
      </c>
      <c r="L19" s="297">
        <f t="shared" si="8"/>
        <v>0.33333333333333331</v>
      </c>
      <c r="M19" s="337">
        <v>30</v>
      </c>
      <c r="N19" s="338">
        <f t="shared" si="3"/>
        <v>6.9767441860465115E-2</v>
      </c>
      <c r="O19" s="285">
        <f>I19*$N$19</f>
        <v>0</v>
      </c>
      <c r="P19" s="286">
        <f t="shared" si="9"/>
        <v>0</v>
      </c>
      <c r="Q19" s="286">
        <f>K19*$N$19</f>
        <v>4.6511627906976744E-2</v>
      </c>
      <c r="R19" s="287">
        <f>L19*$N$19</f>
        <v>2.3255813953488372E-2</v>
      </c>
      <c r="S19" s="257"/>
      <c r="T19" s="257"/>
      <c r="U19" s="274" t="s">
        <v>129</v>
      </c>
      <c r="V19" s="316">
        <v>5</v>
      </c>
      <c r="W19" s="299">
        <v>1</v>
      </c>
      <c r="X19" s="300">
        <v>1</v>
      </c>
      <c r="Y19" s="300">
        <v>3</v>
      </c>
      <c r="Z19" s="301">
        <v>2</v>
      </c>
      <c r="AA19" s="294">
        <v>1</v>
      </c>
      <c r="AB19" s="295">
        <v>3</v>
      </c>
      <c r="AC19" s="296">
        <f t="shared" si="15"/>
        <v>0</v>
      </c>
      <c r="AD19" s="296">
        <f t="shared" si="10"/>
        <v>0</v>
      </c>
      <c r="AE19" s="296">
        <f t="shared" si="11"/>
        <v>0.66666666666666663</v>
      </c>
      <c r="AF19" s="297">
        <f t="shared" si="12"/>
        <v>0.33333333333333331</v>
      </c>
      <c r="AG19" s="337">
        <v>30</v>
      </c>
      <c r="AH19" s="338">
        <f t="shared" si="6"/>
        <v>6.9767441860465115E-2</v>
      </c>
      <c r="AI19" s="285">
        <f>AC19*$N$19</f>
        <v>0</v>
      </c>
      <c r="AJ19" s="286">
        <f t="shared" si="13"/>
        <v>0</v>
      </c>
      <c r="AK19" s="286">
        <f>AE19*$N$19</f>
        <v>4.6511627906976744E-2</v>
      </c>
      <c r="AL19" s="287">
        <f>AF19*$N$19</f>
        <v>2.3255813953488372E-2</v>
      </c>
      <c r="AM19" s="257"/>
    </row>
    <row r="20" spans="1:39" ht="54" x14ac:dyDescent="0.25">
      <c r="A20" s="274" t="s">
        <v>130</v>
      </c>
      <c r="B20" s="316">
        <v>6</v>
      </c>
      <c r="C20" s="322">
        <v>1</v>
      </c>
      <c r="D20" s="298">
        <v>1</v>
      </c>
      <c r="E20" s="298">
        <v>2</v>
      </c>
      <c r="F20" s="323">
        <v>3</v>
      </c>
      <c r="G20" s="294">
        <v>1</v>
      </c>
      <c r="H20" s="295">
        <v>3</v>
      </c>
      <c r="I20" s="296">
        <f t="shared" si="14"/>
        <v>0</v>
      </c>
      <c r="J20" s="296">
        <f t="shared" si="7"/>
        <v>0</v>
      </c>
      <c r="K20" s="296">
        <f t="shared" si="7"/>
        <v>0.33333333333333331</v>
      </c>
      <c r="L20" s="297">
        <f t="shared" si="8"/>
        <v>0.66666666666666663</v>
      </c>
      <c r="M20" s="337">
        <v>50</v>
      </c>
      <c r="N20" s="338">
        <f t="shared" si="3"/>
        <v>0.11627906976744186</v>
      </c>
      <c r="O20" s="285">
        <f>I20*$N$20</f>
        <v>0</v>
      </c>
      <c r="P20" s="286">
        <f t="shared" si="9"/>
        <v>0</v>
      </c>
      <c r="Q20" s="286">
        <f>K20*$N$20</f>
        <v>3.875968992248062E-2</v>
      </c>
      <c r="R20" s="287">
        <f>L20*$N$20</f>
        <v>7.7519379844961239E-2</v>
      </c>
      <c r="S20" s="257"/>
      <c r="T20" s="257"/>
      <c r="U20" s="274" t="s">
        <v>130</v>
      </c>
      <c r="V20" s="316">
        <v>6</v>
      </c>
      <c r="W20" s="322">
        <v>1</v>
      </c>
      <c r="X20" s="298">
        <v>1</v>
      </c>
      <c r="Y20" s="298">
        <v>2</v>
      </c>
      <c r="Z20" s="323">
        <v>3</v>
      </c>
      <c r="AA20" s="294">
        <v>1</v>
      </c>
      <c r="AB20" s="295">
        <v>3</v>
      </c>
      <c r="AC20" s="296">
        <f t="shared" si="15"/>
        <v>0</v>
      </c>
      <c r="AD20" s="296">
        <f t="shared" si="10"/>
        <v>0</v>
      </c>
      <c r="AE20" s="296">
        <f t="shared" si="11"/>
        <v>0.33333333333333331</v>
      </c>
      <c r="AF20" s="297">
        <f t="shared" si="12"/>
        <v>0.66666666666666663</v>
      </c>
      <c r="AG20" s="337">
        <v>50</v>
      </c>
      <c r="AH20" s="338">
        <f t="shared" si="6"/>
        <v>0.11627906976744186</v>
      </c>
      <c r="AI20" s="285">
        <f>AC20*$N$20</f>
        <v>0</v>
      </c>
      <c r="AJ20" s="286">
        <f t="shared" si="13"/>
        <v>0</v>
      </c>
      <c r="AK20" s="286">
        <f>AE20*$N$20</f>
        <v>3.875968992248062E-2</v>
      </c>
      <c r="AL20" s="287">
        <f>AF20*$N$20</f>
        <v>7.7519379844961239E-2</v>
      </c>
      <c r="AM20" s="257"/>
    </row>
    <row r="21" spans="1:39" ht="72" x14ac:dyDescent="0.25">
      <c r="A21" s="274" t="s">
        <v>131</v>
      </c>
      <c r="B21" s="316">
        <v>7</v>
      </c>
      <c r="C21" s="322">
        <v>1</v>
      </c>
      <c r="D21" s="298">
        <v>1</v>
      </c>
      <c r="E21" s="298">
        <v>2</v>
      </c>
      <c r="F21" s="323">
        <v>3</v>
      </c>
      <c r="G21" s="294">
        <v>1</v>
      </c>
      <c r="H21" s="302">
        <v>3</v>
      </c>
      <c r="I21" s="296">
        <f t="shared" si="14"/>
        <v>0</v>
      </c>
      <c r="J21" s="296">
        <f t="shared" si="14"/>
        <v>0</v>
      </c>
      <c r="K21" s="296">
        <f t="shared" si="14"/>
        <v>0.33333333333333331</v>
      </c>
      <c r="L21" s="297">
        <f t="shared" si="8"/>
        <v>0.66666666666666663</v>
      </c>
      <c r="M21" s="337">
        <v>30</v>
      </c>
      <c r="N21" s="338">
        <f t="shared" si="3"/>
        <v>6.9767441860465115E-2</v>
      </c>
      <c r="O21" s="285">
        <f>I21*$N$21</f>
        <v>0</v>
      </c>
      <c r="P21" s="286">
        <f t="shared" si="9"/>
        <v>0</v>
      </c>
      <c r="Q21" s="286">
        <f>K21*$N$20</f>
        <v>3.875968992248062E-2</v>
      </c>
      <c r="R21" s="287">
        <f>L21*$N$21</f>
        <v>4.6511627906976744E-2</v>
      </c>
      <c r="S21" s="257"/>
      <c r="T21" s="257"/>
      <c r="U21" s="274" t="s">
        <v>131</v>
      </c>
      <c r="V21" s="316">
        <v>7</v>
      </c>
      <c r="W21" s="322">
        <v>1</v>
      </c>
      <c r="X21" s="298">
        <v>1</v>
      </c>
      <c r="Y21" s="298">
        <v>2</v>
      </c>
      <c r="Z21" s="323">
        <v>3</v>
      </c>
      <c r="AA21" s="294">
        <v>1</v>
      </c>
      <c r="AB21" s="302">
        <v>3</v>
      </c>
      <c r="AC21" s="296">
        <f t="shared" si="15"/>
        <v>0</v>
      </c>
      <c r="AD21" s="296">
        <f t="shared" si="10"/>
        <v>0</v>
      </c>
      <c r="AE21" s="296">
        <f t="shared" si="11"/>
        <v>0.33333333333333331</v>
      </c>
      <c r="AF21" s="297">
        <f t="shared" si="12"/>
        <v>0.66666666666666663</v>
      </c>
      <c r="AG21" s="337">
        <v>30</v>
      </c>
      <c r="AH21" s="338">
        <f t="shared" si="6"/>
        <v>6.9767441860465115E-2</v>
      </c>
      <c r="AI21" s="285">
        <f>AC21*$N$21</f>
        <v>0</v>
      </c>
      <c r="AJ21" s="286">
        <f t="shared" si="13"/>
        <v>0</v>
      </c>
      <c r="AK21" s="286">
        <f>AE21*$N$20</f>
        <v>3.875968992248062E-2</v>
      </c>
      <c r="AL21" s="287">
        <f>AF21*$N$21</f>
        <v>4.6511627906976744E-2</v>
      </c>
      <c r="AM21" s="257"/>
    </row>
    <row r="22" spans="1:39" ht="18" x14ac:dyDescent="0.25">
      <c r="A22" s="274" t="s">
        <v>10</v>
      </c>
      <c r="B22" s="316">
        <v>8</v>
      </c>
      <c r="C22" s="325">
        <v>3</v>
      </c>
      <c r="D22" s="326">
        <v>5</v>
      </c>
      <c r="E22" s="326">
        <v>0</v>
      </c>
      <c r="F22" s="327">
        <v>899</v>
      </c>
      <c r="G22" s="312">
        <v>0</v>
      </c>
      <c r="H22" s="313">
        <v>1000</v>
      </c>
      <c r="I22" s="342">
        <f>1-C22/H22</f>
        <v>0.997</v>
      </c>
      <c r="J22" s="342">
        <f>1-D22/H22</f>
        <v>0.995</v>
      </c>
      <c r="K22" s="342">
        <f>1-E22/I22</f>
        <v>1</v>
      </c>
      <c r="L22" s="343">
        <f>1-F22/H22</f>
        <v>0.10099999999999998</v>
      </c>
      <c r="M22" s="337">
        <v>50</v>
      </c>
      <c r="N22" s="338">
        <f t="shared" si="3"/>
        <v>0.11627906976744186</v>
      </c>
      <c r="O22" s="347">
        <f>I22*$N$22</f>
        <v>0.11593023255813953</v>
      </c>
      <c r="P22" s="348">
        <f t="shared" si="9"/>
        <v>0.11569767441860465</v>
      </c>
      <c r="Q22" s="348">
        <f>K22*$N$20</f>
        <v>0.11627906976744186</v>
      </c>
      <c r="R22" s="349">
        <f>L22*$N$22</f>
        <v>1.1744186046511625E-2</v>
      </c>
      <c r="S22" s="257"/>
      <c r="T22" s="257"/>
      <c r="U22" s="274" t="s">
        <v>10</v>
      </c>
      <c r="V22" s="316">
        <v>8</v>
      </c>
      <c r="W22" s="325">
        <v>3</v>
      </c>
      <c r="X22" s="326">
        <v>5</v>
      </c>
      <c r="Y22" s="326">
        <v>0</v>
      </c>
      <c r="Z22" s="327">
        <v>899</v>
      </c>
      <c r="AA22" s="312">
        <v>0</v>
      </c>
      <c r="AB22" s="313">
        <v>1000</v>
      </c>
      <c r="AC22" s="342">
        <f>W22/AB22</f>
        <v>3.0000000000000001E-3</v>
      </c>
      <c r="AD22" s="342">
        <f>X22/AB22</f>
        <v>5.0000000000000001E-3</v>
      </c>
      <c r="AE22" s="342">
        <f>Y22/AC22</f>
        <v>0</v>
      </c>
      <c r="AF22" s="343">
        <f>Z22/AB22</f>
        <v>0.89900000000000002</v>
      </c>
      <c r="AG22" s="337">
        <v>50</v>
      </c>
      <c r="AH22" s="338">
        <f t="shared" si="6"/>
        <v>0.11627906976744186</v>
      </c>
      <c r="AI22" s="344">
        <f>AC22*$N$22</f>
        <v>3.4883720930232559E-4</v>
      </c>
      <c r="AJ22" s="345">
        <f t="shared" si="13"/>
        <v>5.8139534883720929E-4</v>
      </c>
      <c r="AK22" s="345">
        <f>AE22*$N$20</f>
        <v>0</v>
      </c>
      <c r="AL22" s="346">
        <f>AF22*$N$22</f>
        <v>0.10453488372093023</v>
      </c>
      <c r="AM22" s="257"/>
    </row>
    <row r="23" spans="1:39" ht="18" x14ac:dyDescent="0.25">
      <c r="A23" s="274" t="s">
        <v>132</v>
      </c>
      <c r="B23" s="316">
        <v>9</v>
      </c>
      <c r="C23" s="299">
        <v>1</v>
      </c>
      <c r="D23" s="300">
        <v>2</v>
      </c>
      <c r="E23" s="300">
        <v>2</v>
      </c>
      <c r="F23" s="301">
        <v>3</v>
      </c>
      <c r="G23" s="294">
        <v>1</v>
      </c>
      <c r="H23" s="295">
        <v>3</v>
      </c>
      <c r="I23" s="296">
        <f t="shared" si="14"/>
        <v>0</v>
      </c>
      <c r="J23" s="296">
        <f t="shared" ref="J23" si="16">(D23-$G23)/$H23</f>
        <v>0.33333333333333331</v>
      </c>
      <c r="K23" s="296">
        <f t="shared" ref="K23" si="17">(E23-$G23)/$H23</f>
        <v>0.33333333333333331</v>
      </c>
      <c r="L23" s="297">
        <f t="shared" si="8"/>
        <v>0.66666666666666663</v>
      </c>
      <c r="M23" s="337">
        <v>60</v>
      </c>
      <c r="N23" s="338">
        <f>IF(ISBLANK(M23),"",M23/SUM($M$15:$M$24))</f>
        <v>0.13953488372093023</v>
      </c>
      <c r="O23" s="285">
        <f>I23*$N$23</f>
        <v>0</v>
      </c>
      <c r="P23" s="286">
        <f t="shared" si="9"/>
        <v>4.6511627906976744E-2</v>
      </c>
      <c r="Q23" s="286">
        <f>K23*$N$23</f>
        <v>4.6511627906976744E-2</v>
      </c>
      <c r="R23" s="287">
        <f>L23*$N$23</f>
        <v>9.3023255813953487E-2</v>
      </c>
      <c r="S23" s="257"/>
      <c r="T23" s="257"/>
      <c r="U23" s="274" t="s">
        <v>132</v>
      </c>
      <c r="V23" s="316">
        <v>9</v>
      </c>
      <c r="W23" s="299">
        <v>1</v>
      </c>
      <c r="X23" s="300">
        <v>2</v>
      </c>
      <c r="Y23" s="300">
        <v>2</v>
      </c>
      <c r="Z23" s="301">
        <v>3</v>
      </c>
      <c r="AA23" s="294">
        <v>1</v>
      </c>
      <c r="AB23" s="295">
        <v>3</v>
      </c>
      <c r="AC23" s="296">
        <f t="shared" ref="AC23" si="18">(W23-$G23)/$H23</f>
        <v>0</v>
      </c>
      <c r="AD23" s="296">
        <f t="shared" ref="AD23" si="19">(X23-$G23)/$H23</f>
        <v>0.33333333333333331</v>
      </c>
      <c r="AE23" s="296">
        <f t="shared" ref="AE23" si="20">(Y23-$G23)/$H23</f>
        <v>0.33333333333333331</v>
      </c>
      <c r="AF23" s="297">
        <f t="shared" ref="AF23" si="21">(Z23-AA23)/AB23</f>
        <v>0.66666666666666663</v>
      </c>
      <c r="AG23" s="337">
        <v>60</v>
      </c>
      <c r="AH23" s="338">
        <f>IF(ISBLANK(AG23),"",AG23/SUM($M$15:$M$24))</f>
        <v>0.13953488372093023</v>
      </c>
      <c r="AI23" s="285">
        <f>AC23*$N$23</f>
        <v>0</v>
      </c>
      <c r="AJ23" s="286">
        <f t="shared" si="13"/>
        <v>4.6511627906976744E-2</v>
      </c>
      <c r="AK23" s="286">
        <f>AE23*$N$23</f>
        <v>4.6511627906976744E-2</v>
      </c>
      <c r="AL23" s="287">
        <f>AF23*$N$23</f>
        <v>9.3023255813953487E-2</v>
      </c>
      <c r="AM23" s="257"/>
    </row>
    <row r="24" spans="1:39" ht="18.600000000000001" thickBot="1" x14ac:dyDescent="0.3">
      <c r="A24" s="275" t="s">
        <v>1</v>
      </c>
      <c r="B24" s="265"/>
      <c r="C24" s="304" t="s">
        <v>1</v>
      </c>
      <c r="D24" s="305" t="s">
        <v>1</v>
      </c>
      <c r="E24" s="305"/>
      <c r="F24" s="306" t="s">
        <v>1</v>
      </c>
      <c r="G24" s="307" t="s">
        <v>1</v>
      </c>
      <c r="H24" s="308"/>
      <c r="I24" s="309"/>
      <c r="J24" s="309"/>
      <c r="K24" s="309"/>
      <c r="L24" s="303"/>
      <c r="M24" s="310"/>
      <c r="N24" s="339" t="str">
        <f>IF(ISBLANK(M24),"",M24/SUM($M$15:$M$24))</f>
        <v/>
      </c>
      <c r="O24" s="288" t="str">
        <f>IF(ISBLANK(I24),"",I24*$N$24)</f>
        <v/>
      </c>
      <c r="P24" s="289" t="str">
        <f>IF(ISBLANK(J24),"",J24*$N$24)</f>
        <v/>
      </c>
      <c r="Q24" s="289" t="str">
        <f>IF(ISBLANK(K24),"",K24*$N$24)</f>
        <v/>
      </c>
      <c r="R24" s="290" t="str">
        <f>IF(ISBLANK(L24),"",L24*$N$24)</f>
        <v/>
      </c>
      <c r="S24" s="257"/>
      <c r="T24" s="257"/>
      <c r="U24" s="275" t="s">
        <v>1</v>
      </c>
      <c r="V24" s="265"/>
      <c r="W24" s="304" t="s">
        <v>1</v>
      </c>
      <c r="X24" s="305" t="s">
        <v>1</v>
      </c>
      <c r="Y24" s="305"/>
      <c r="Z24" s="306" t="s">
        <v>1</v>
      </c>
      <c r="AA24" s="307" t="s">
        <v>1</v>
      </c>
      <c r="AB24" s="308"/>
      <c r="AC24" s="309"/>
      <c r="AD24" s="309"/>
      <c r="AE24" s="309"/>
      <c r="AF24" s="303"/>
      <c r="AG24" s="310"/>
      <c r="AH24" s="339" t="str">
        <f>IF(ISBLANK(AG24),"",AG24/SUM($M$15:$M$24))</f>
        <v/>
      </c>
      <c r="AI24" s="288" t="str">
        <f>IF(ISBLANK(AC24),"",AC24*$N$24)</f>
        <v/>
      </c>
      <c r="AJ24" s="289" t="str">
        <f>IF(ISBLANK(AD24),"",AD24*$N$24)</f>
        <v/>
      </c>
      <c r="AK24" s="289" t="str">
        <f>IF(ISBLANK(AE24),"",AE24*$N$24)</f>
        <v/>
      </c>
      <c r="AL24" s="290" t="str">
        <f>IF(ISBLANK(AF24),"",AF24*$N$24)</f>
        <v/>
      </c>
      <c r="AM24" s="257"/>
    </row>
    <row r="25" spans="1:39" ht="18.600000000000001" thickBot="1" x14ac:dyDescent="0.3">
      <c r="A25" s="262" t="s">
        <v>44</v>
      </c>
      <c r="B25" s="264"/>
      <c r="C25" s="265"/>
      <c r="D25" s="265"/>
      <c r="E25" s="265"/>
      <c r="F25" s="265"/>
      <c r="G25" s="257"/>
      <c r="H25" s="265"/>
      <c r="I25" s="267">
        <f>SUM(I15:I24)</f>
        <v>0.997</v>
      </c>
      <c r="J25" s="268">
        <f t="shared" ref="J25:L25" si="22">SUM(J15:J24)</f>
        <v>2.1950000000000003</v>
      </c>
      <c r="K25" s="268">
        <f t="shared" si="22"/>
        <v>4.8</v>
      </c>
      <c r="L25" s="269">
        <f t="shared" si="22"/>
        <v>5.2343333333333337</v>
      </c>
      <c r="M25" s="332"/>
      <c r="N25" s="341">
        <f>SUM(N15:N24)</f>
        <v>1</v>
      </c>
      <c r="O25" s="288">
        <f>SUM(O15:O24)</f>
        <v>0.11593023255813953</v>
      </c>
      <c r="P25" s="289">
        <f t="shared" ref="P25:R25" si="23">SUM(P15:P24)</f>
        <v>0.27848837209302324</v>
      </c>
      <c r="Q25" s="289">
        <f t="shared" si="23"/>
        <v>0.53488372093023251</v>
      </c>
      <c r="R25" s="290">
        <f t="shared" si="23"/>
        <v>0.59313953488372095</v>
      </c>
      <c r="S25" s="257"/>
      <c r="T25" s="257"/>
      <c r="U25" s="262" t="s">
        <v>44</v>
      </c>
      <c r="V25" s="264"/>
      <c r="W25" s="265"/>
      <c r="X25" s="265"/>
      <c r="Y25" s="265"/>
      <c r="Z25" s="265"/>
      <c r="AA25" s="257"/>
      <c r="AB25" s="265"/>
      <c r="AC25" s="267">
        <f>SUM(AC15:AC24)</f>
        <v>3.0000000000000001E-3</v>
      </c>
      <c r="AD25" s="268">
        <f t="shared" ref="AD25:AF25" si="24">SUM(AD15:AD24)</f>
        <v>1.2050000000000001</v>
      </c>
      <c r="AE25" s="268">
        <f t="shared" si="24"/>
        <v>3.8000000000000003</v>
      </c>
      <c r="AF25" s="269">
        <f t="shared" si="24"/>
        <v>6.0323333333333338</v>
      </c>
      <c r="AG25" s="332"/>
      <c r="AH25" s="341">
        <f>SUM(AH15:AH24)</f>
        <v>1</v>
      </c>
      <c r="AI25" s="288">
        <f>SUM(AI15:AI24)</f>
        <v>3.4883720930232559E-4</v>
      </c>
      <c r="AJ25" s="289">
        <f t="shared" ref="AJ25:AL25" si="25">SUM(AJ15:AJ24)</f>
        <v>0.16337209302325581</v>
      </c>
      <c r="AK25" s="289">
        <f t="shared" si="25"/>
        <v>0.41860465116279066</v>
      </c>
      <c r="AL25" s="290">
        <f t="shared" si="25"/>
        <v>0.68593023255813956</v>
      </c>
      <c r="AM25" s="257"/>
    </row>
    <row r="26" spans="1:39" ht="18.600000000000001" thickBot="1" x14ac:dyDescent="0.3">
      <c r="A26" s="266"/>
      <c r="B26" s="266"/>
      <c r="C26" s="266"/>
      <c r="D26" s="266"/>
      <c r="E26" s="315"/>
      <c r="F26" s="266"/>
      <c r="G26" s="266"/>
      <c r="H26" s="266"/>
      <c r="I26" s="266"/>
      <c r="J26" s="266"/>
      <c r="K26" s="315"/>
      <c r="L26" s="266"/>
      <c r="M26" s="315"/>
      <c r="N26" s="266"/>
      <c r="O26" s="266"/>
      <c r="P26" s="315"/>
      <c r="Q26" s="266"/>
      <c r="R26" s="266"/>
      <c r="S26" s="266"/>
      <c r="T26" s="266"/>
      <c r="U26" s="266"/>
      <c r="V26" s="266"/>
      <c r="W26" s="266"/>
      <c r="X26" s="266"/>
      <c r="Y26" s="266"/>
      <c r="Z26" s="266"/>
      <c r="AA26" s="266"/>
      <c r="AB26" s="266"/>
      <c r="AC26" s="266"/>
      <c r="AD26" s="266"/>
    </row>
    <row r="27" spans="1:39" ht="17.399999999999999" x14ac:dyDescent="0.25">
      <c r="A27" s="256"/>
      <c r="B27" s="256"/>
      <c r="C27" s="256"/>
      <c r="D27" s="256"/>
      <c r="E27" s="256"/>
      <c r="F27" s="256"/>
      <c r="G27" s="256"/>
      <c r="H27" s="256"/>
      <c r="I27" s="256"/>
      <c r="J27" s="256"/>
      <c r="K27" s="256"/>
      <c r="L27" s="256"/>
      <c r="M27" s="256"/>
      <c r="N27" s="256"/>
      <c r="O27" s="256"/>
      <c r="P27" s="256"/>
      <c r="Q27" s="256"/>
      <c r="R27" s="256"/>
      <c r="S27" s="256"/>
      <c r="T27" s="256"/>
      <c r="U27" s="256"/>
      <c r="V27" s="256"/>
      <c r="W27" s="256"/>
      <c r="X27" s="256"/>
      <c r="Y27" s="256"/>
      <c r="Z27" s="256"/>
      <c r="AA27" s="256"/>
      <c r="AB27" s="256"/>
      <c r="AC27" s="256"/>
      <c r="AD27" s="256"/>
    </row>
    <row r="28" spans="1:39" ht="17.399999999999999" x14ac:dyDescent="0.25">
      <c r="A28" s="263" t="s">
        <v>122</v>
      </c>
      <c r="B28" s="256"/>
      <c r="C28" s="256"/>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c r="AB28" s="256"/>
      <c r="AC28" s="256"/>
      <c r="AD28" s="256"/>
    </row>
    <row r="29" spans="1:39" ht="18" thickBot="1" x14ac:dyDescent="0.3">
      <c r="A29" s="256"/>
      <c r="B29" s="256"/>
      <c r="C29" s="256"/>
      <c r="D29" s="256"/>
      <c r="E29" s="256"/>
      <c r="F29" s="256"/>
      <c r="G29" s="256"/>
      <c r="H29" s="256"/>
      <c r="I29" s="256"/>
      <c r="J29" s="256"/>
      <c r="K29" s="256"/>
      <c r="L29" s="256"/>
      <c r="M29" s="256"/>
      <c r="N29" s="256"/>
      <c r="O29" s="256"/>
      <c r="P29" s="256"/>
      <c r="Q29" s="256"/>
      <c r="R29" s="256"/>
      <c r="S29" s="256"/>
      <c r="T29" s="256"/>
      <c r="U29" s="256"/>
      <c r="V29" s="256"/>
      <c r="W29" s="256"/>
      <c r="X29" s="256"/>
      <c r="Y29" s="256"/>
      <c r="Z29" s="256"/>
      <c r="AA29" s="256"/>
      <c r="AB29" s="256"/>
      <c r="AC29" s="256"/>
      <c r="AD29" s="256"/>
    </row>
    <row r="30" spans="1:39" ht="18" thickBot="1" x14ac:dyDescent="0.3">
      <c r="B30" s="388" t="s">
        <v>137</v>
      </c>
      <c r="C30" s="389"/>
      <c r="D30" s="389"/>
      <c r="E30" s="389"/>
      <c r="F30" s="389"/>
      <c r="G30" s="389"/>
      <c r="H30" s="389"/>
      <c r="I30" s="389"/>
      <c r="J30" s="389"/>
      <c r="K30" s="389"/>
      <c r="L30" s="390"/>
      <c r="M30" s="333"/>
    </row>
    <row r="31" spans="1:39" ht="18" thickBot="1" x14ac:dyDescent="0.3">
      <c r="B31" s="270" t="s">
        <v>75</v>
      </c>
      <c r="C31" s="271" t="s">
        <v>97</v>
      </c>
      <c r="D31" s="272"/>
      <c r="E31" s="272"/>
      <c r="F31" s="272"/>
      <c r="G31" s="272"/>
      <c r="H31" s="272"/>
      <c r="I31" s="272"/>
      <c r="J31" s="272"/>
      <c r="K31" s="272"/>
      <c r="L31" s="273"/>
      <c r="M31" s="195"/>
    </row>
    <row r="32" spans="1:39" ht="17.399999999999999" x14ac:dyDescent="0.25">
      <c r="B32" s="318">
        <v>3</v>
      </c>
      <c r="C32" s="385" t="s">
        <v>138</v>
      </c>
      <c r="D32" s="377"/>
      <c r="E32" s="377"/>
      <c r="F32" s="377"/>
      <c r="G32" s="377"/>
      <c r="H32" s="377"/>
      <c r="I32" s="377"/>
      <c r="J32" s="377"/>
      <c r="K32" s="377"/>
      <c r="L32" s="378"/>
      <c r="M32" s="328"/>
    </row>
    <row r="33" spans="2:13" ht="17.399999999999999" x14ac:dyDescent="0.25">
      <c r="B33" s="318">
        <v>2</v>
      </c>
      <c r="C33" s="386" t="s">
        <v>139</v>
      </c>
      <c r="D33" s="371"/>
      <c r="E33" s="371"/>
      <c r="F33" s="371"/>
      <c r="G33" s="371"/>
      <c r="H33" s="371"/>
      <c r="I33" s="371"/>
      <c r="J33" s="371"/>
      <c r="K33" s="371"/>
      <c r="L33" s="372"/>
      <c r="M33" s="328"/>
    </row>
    <row r="34" spans="2:13" ht="18" thickBot="1" x14ac:dyDescent="0.3">
      <c r="B34" s="319">
        <v>1</v>
      </c>
      <c r="C34" s="387" t="s">
        <v>150</v>
      </c>
      <c r="D34" s="374"/>
      <c r="E34" s="374"/>
      <c r="F34" s="374"/>
      <c r="G34" s="374"/>
      <c r="H34" s="374"/>
      <c r="I34" s="374"/>
      <c r="J34" s="374"/>
      <c r="K34" s="374"/>
      <c r="L34" s="375"/>
      <c r="M34" s="328"/>
    </row>
    <row r="35" spans="2:13" ht="13.8" thickBot="1" x14ac:dyDescent="0.3">
      <c r="B35" s="320"/>
      <c r="C35" s="320"/>
      <c r="D35" s="320"/>
      <c r="E35" s="320"/>
      <c r="F35" s="320"/>
      <c r="G35" s="320"/>
      <c r="H35" s="320"/>
      <c r="I35" s="320"/>
      <c r="J35" s="320"/>
      <c r="K35" s="320"/>
      <c r="L35" s="320"/>
      <c r="M35" s="320"/>
    </row>
    <row r="36" spans="2:13" ht="13.8" thickBot="1" x14ac:dyDescent="0.3">
      <c r="B36" s="382" t="s">
        <v>140</v>
      </c>
      <c r="C36" s="383"/>
      <c r="D36" s="383"/>
      <c r="E36" s="383"/>
      <c r="F36" s="383"/>
      <c r="G36" s="383"/>
      <c r="H36" s="383"/>
      <c r="I36" s="383"/>
      <c r="J36" s="383"/>
      <c r="K36" s="383"/>
      <c r="L36" s="384"/>
      <c r="M36" s="334"/>
    </row>
    <row r="37" spans="2:13" ht="18" thickBot="1" x14ac:dyDescent="0.3">
      <c r="B37" s="281" t="s">
        <v>75</v>
      </c>
      <c r="C37" s="379" t="s">
        <v>97</v>
      </c>
      <c r="D37" s="380"/>
      <c r="E37" s="380"/>
      <c r="F37" s="380"/>
      <c r="G37" s="380"/>
      <c r="H37" s="380"/>
      <c r="I37" s="380"/>
      <c r="J37" s="380"/>
      <c r="K37" s="380"/>
      <c r="L37" s="381"/>
      <c r="M37" s="335"/>
    </row>
    <row r="38" spans="2:13" ht="17.399999999999999" x14ac:dyDescent="0.25">
      <c r="B38" s="318">
        <v>3</v>
      </c>
      <c r="C38" s="376" t="s">
        <v>155</v>
      </c>
      <c r="D38" s="377"/>
      <c r="E38" s="377"/>
      <c r="F38" s="377"/>
      <c r="G38" s="377"/>
      <c r="H38" s="377"/>
      <c r="I38" s="377"/>
      <c r="J38" s="377"/>
      <c r="K38" s="377"/>
      <c r="L38" s="378"/>
      <c r="M38" s="328"/>
    </row>
    <row r="39" spans="2:13" ht="17.399999999999999" x14ac:dyDescent="0.25">
      <c r="B39" s="318">
        <v>2</v>
      </c>
      <c r="C39" s="370" t="s">
        <v>154</v>
      </c>
      <c r="D39" s="371"/>
      <c r="E39" s="371"/>
      <c r="F39" s="371"/>
      <c r="G39" s="371"/>
      <c r="H39" s="371"/>
      <c r="I39" s="371"/>
      <c r="J39" s="371"/>
      <c r="K39" s="371"/>
      <c r="L39" s="372"/>
      <c r="M39" s="328"/>
    </row>
    <row r="40" spans="2:13" ht="18" thickBot="1" x14ac:dyDescent="0.3">
      <c r="B40" s="319">
        <v>1</v>
      </c>
      <c r="C40" s="373" t="s">
        <v>153</v>
      </c>
      <c r="D40" s="374"/>
      <c r="E40" s="374"/>
      <c r="F40" s="374"/>
      <c r="G40" s="374"/>
      <c r="H40" s="374"/>
      <c r="I40" s="374"/>
      <c r="J40" s="374"/>
      <c r="K40" s="374"/>
      <c r="L40" s="375"/>
      <c r="M40" s="328"/>
    </row>
    <row r="41" spans="2:13" ht="13.8" thickBot="1" x14ac:dyDescent="0.3">
      <c r="B41" s="320"/>
      <c r="C41" s="320"/>
      <c r="D41" s="320"/>
      <c r="E41" s="320"/>
      <c r="F41" s="320"/>
      <c r="G41" s="320"/>
      <c r="H41" s="320"/>
      <c r="I41" s="320"/>
      <c r="J41" s="320"/>
      <c r="K41" s="320"/>
      <c r="L41" s="320"/>
      <c r="M41" s="320"/>
    </row>
    <row r="42" spans="2:13" ht="13.8" thickBot="1" x14ac:dyDescent="0.3">
      <c r="B42" s="382" t="s">
        <v>141</v>
      </c>
      <c r="C42" s="383"/>
      <c r="D42" s="383"/>
      <c r="E42" s="383"/>
      <c r="F42" s="383"/>
      <c r="G42" s="383"/>
      <c r="H42" s="383"/>
      <c r="I42" s="383"/>
      <c r="J42" s="383"/>
      <c r="K42" s="383"/>
      <c r="L42" s="384"/>
      <c r="M42" s="334"/>
    </row>
    <row r="43" spans="2:13" ht="18" thickBot="1" x14ac:dyDescent="0.3">
      <c r="B43" s="281" t="s">
        <v>75</v>
      </c>
      <c r="C43" s="379" t="s">
        <v>97</v>
      </c>
      <c r="D43" s="380"/>
      <c r="E43" s="380"/>
      <c r="F43" s="380"/>
      <c r="G43" s="380"/>
      <c r="H43" s="380"/>
      <c r="I43" s="380"/>
      <c r="J43" s="380"/>
      <c r="K43" s="380"/>
      <c r="L43" s="381"/>
      <c r="M43" s="335"/>
    </row>
    <row r="44" spans="2:13" ht="17.399999999999999" x14ac:dyDescent="0.25">
      <c r="B44" s="321">
        <v>5</v>
      </c>
      <c r="C44" s="370" t="s">
        <v>160</v>
      </c>
      <c r="D44" s="371"/>
      <c r="E44" s="371"/>
      <c r="F44" s="371"/>
      <c r="G44" s="371"/>
      <c r="H44" s="371"/>
      <c r="I44" s="371"/>
      <c r="J44" s="371"/>
      <c r="K44" s="371"/>
      <c r="L44" s="372"/>
      <c r="M44" s="328"/>
    </row>
    <row r="45" spans="2:13" ht="17.399999999999999" x14ac:dyDescent="0.25">
      <c r="B45" s="318">
        <v>4</v>
      </c>
      <c r="C45" s="370" t="s">
        <v>159</v>
      </c>
      <c r="D45" s="371"/>
      <c r="E45" s="371"/>
      <c r="F45" s="371"/>
      <c r="G45" s="371"/>
      <c r="H45" s="371"/>
      <c r="I45" s="371"/>
      <c r="J45" s="371"/>
      <c r="K45" s="371"/>
      <c r="L45" s="372"/>
      <c r="M45" s="328"/>
    </row>
    <row r="46" spans="2:13" ht="17.399999999999999" x14ac:dyDescent="0.25">
      <c r="B46" s="318">
        <v>3</v>
      </c>
      <c r="C46" s="370" t="s">
        <v>158</v>
      </c>
      <c r="D46" s="371"/>
      <c r="E46" s="371"/>
      <c r="F46" s="371"/>
      <c r="G46" s="371"/>
      <c r="H46" s="371"/>
      <c r="I46" s="371"/>
      <c r="J46" s="371"/>
      <c r="K46" s="371"/>
      <c r="L46" s="372"/>
      <c r="M46" s="328"/>
    </row>
    <row r="47" spans="2:13" ht="17.399999999999999" x14ac:dyDescent="0.25">
      <c r="B47" s="318">
        <v>2</v>
      </c>
      <c r="C47" s="370" t="s">
        <v>157</v>
      </c>
      <c r="D47" s="371"/>
      <c r="E47" s="371"/>
      <c r="F47" s="371"/>
      <c r="G47" s="371"/>
      <c r="H47" s="371"/>
      <c r="I47" s="371"/>
      <c r="J47" s="371"/>
      <c r="K47" s="371"/>
      <c r="L47" s="372"/>
      <c r="M47" s="328"/>
    </row>
    <row r="48" spans="2:13" ht="18" thickBot="1" x14ac:dyDescent="0.3">
      <c r="B48" s="319">
        <v>1</v>
      </c>
      <c r="C48" s="373" t="s">
        <v>156</v>
      </c>
      <c r="D48" s="374"/>
      <c r="E48" s="374"/>
      <c r="F48" s="374"/>
      <c r="G48" s="374"/>
      <c r="H48" s="374"/>
      <c r="I48" s="374"/>
      <c r="J48" s="374"/>
      <c r="K48" s="374"/>
      <c r="L48" s="375"/>
      <c r="M48" s="328"/>
    </row>
    <row r="49" spans="2:13" ht="13.8" thickBot="1" x14ac:dyDescent="0.3">
      <c r="B49" s="320"/>
      <c r="C49" s="320"/>
      <c r="D49" s="320"/>
      <c r="E49" s="320"/>
      <c r="F49" s="320"/>
      <c r="G49" s="320"/>
      <c r="H49" s="320"/>
      <c r="I49" s="320"/>
      <c r="J49" s="320"/>
      <c r="K49" s="320"/>
      <c r="L49" s="320"/>
      <c r="M49" s="320"/>
    </row>
    <row r="50" spans="2:13" ht="13.8" thickBot="1" x14ac:dyDescent="0.3">
      <c r="B50" s="382" t="s">
        <v>142</v>
      </c>
      <c r="C50" s="383"/>
      <c r="D50" s="383"/>
      <c r="E50" s="383"/>
      <c r="F50" s="383"/>
      <c r="G50" s="383"/>
      <c r="H50" s="383"/>
      <c r="I50" s="383"/>
      <c r="J50" s="383"/>
      <c r="K50" s="383"/>
      <c r="L50" s="384"/>
      <c r="M50" s="334"/>
    </row>
    <row r="51" spans="2:13" ht="18" thickBot="1" x14ac:dyDescent="0.3">
      <c r="B51" s="281" t="s">
        <v>75</v>
      </c>
      <c r="C51" s="379" t="s">
        <v>97</v>
      </c>
      <c r="D51" s="380"/>
      <c r="E51" s="380"/>
      <c r="F51" s="380"/>
      <c r="G51" s="380"/>
      <c r="H51" s="380"/>
      <c r="I51" s="380"/>
      <c r="J51" s="380"/>
      <c r="K51" s="380"/>
      <c r="L51" s="381"/>
      <c r="M51" s="335"/>
    </row>
    <row r="52" spans="2:13" ht="17.399999999999999" x14ac:dyDescent="0.25">
      <c r="B52" s="318">
        <v>3</v>
      </c>
      <c r="C52" s="376" t="s">
        <v>163</v>
      </c>
      <c r="D52" s="377"/>
      <c r="E52" s="377"/>
      <c r="F52" s="377"/>
      <c r="G52" s="377"/>
      <c r="H52" s="377"/>
      <c r="I52" s="377"/>
      <c r="J52" s="377"/>
      <c r="K52" s="377"/>
      <c r="L52" s="378"/>
      <c r="M52" s="328"/>
    </row>
    <row r="53" spans="2:13" ht="17.399999999999999" x14ac:dyDescent="0.25">
      <c r="B53" s="318">
        <v>2</v>
      </c>
      <c r="C53" s="370" t="s">
        <v>162</v>
      </c>
      <c r="D53" s="371"/>
      <c r="E53" s="371"/>
      <c r="F53" s="371"/>
      <c r="G53" s="371"/>
      <c r="H53" s="371"/>
      <c r="I53" s="371"/>
      <c r="J53" s="371"/>
      <c r="K53" s="371"/>
      <c r="L53" s="372"/>
      <c r="M53" s="328"/>
    </row>
    <row r="54" spans="2:13" ht="18" thickBot="1" x14ac:dyDescent="0.3">
      <c r="B54" s="319">
        <v>1</v>
      </c>
      <c r="C54" s="373" t="s">
        <v>161</v>
      </c>
      <c r="D54" s="374"/>
      <c r="E54" s="374"/>
      <c r="F54" s="374"/>
      <c r="G54" s="374"/>
      <c r="H54" s="374"/>
      <c r="I54" s="374"/>
      <c r="J54" s="374"/>
      <c r="K54" s="374"/>
      <c r="L54" s="375"/>
      <c r="M54" s="328"/>
    </row>
    <row r="55" spans="2:13" ht="13.8" thickBot="1" x14ac:dyDescent="0.3">
      <c r="B55" s="320"/>
      <c r="C55" s="320"/>
      <c r="D55" s="320"/>
      <c r="E55" s="320"/>
      <c r="F55" s="320"/>
      <c r="G55" s="320"/>
      <c r="H55" s="320"/>
      <c r="I55" s="320"/>
      <c r="J55" s="320"/>
      <c r="K55" s="320"/>
      <c r="L55" s="320"/>
      <c r="M55" s="320"/>
    </row>
    <row r="56" spans="2:13" ht="13.8" thickBot="1" x14ac:dyDescent="0.3">
      <c r="B56" s="382" t="s">
        <v>143</v>
      </c>
      <c r="C56" s="383"/>
      <c r="D56" s="383"/>
      <c r="E56" s="383"/>
      <c r="F56" s="383"/>
      <c r="G56" s="383"/>
      <c r="H56" s="383"/>
      <c r="I56" s="383"/>
      <c r="J56" s="383"/>
      <c r="K56" s="383"/>
      <c r="L56" s="384"/>
      <c r="M56" s="334"/>
    </row>
    <row r="57" spans="2:13" ht="18" thickBot="1" x14ac:dyDescent="0.3">
      <c r="B57" s="281" t="s">
        <v>75</v>
      </c>
      <c r="C57" s="379" t="s">
        <v>97</v>
      </c>
      <c r="D57" s="380"/>
      <c r="E57" s="380"/>
      <c r="F57" s="380"/>
      <c r="G57" s="380"/>
      <c r="H57" s="380"/>
      <c r="I57" s="380"/>
      <c r="J57" s="380"/>
      <c r="K57" s="380"/>
      <c r="L57" s="381"/>
      <c r="M57" s="335"/>
    </row>
    <row r="58" spans="2:13" ht="17.399999999999999" x14ac:dyDescent="0.25">
      <c r="B58" s="318">
        <v>3</v>
      </c>
      <c r="C58" s="376" t="s">
        <v>166</v>
      </c>
      <c r="D58" s="377"/>
      <c r="E58" s="377"/>
      <c r="F58" s="377"/>
      <c r="G58" s="377"/>
      <c r="H58" s="377"/>
      <c r="I58" s="377"/>
      <c r="J58" s="377"/>
      <c r="K58" s="377"/>
      <c r="L58" s="378"/>
      <c r="M58" s="328"/>
    </row>
    <row r="59" spans="2:13" ht="17.399999999999999" x14ac:dyDescent="0.25">
      <c r="B59" s="318">
        <v>2</v>
      </c>
      <c r="C59" s="370" t="s">
        <v>165</v>
      </c>
      <c r="D59" s="371"/>
      <c r="E59" s="371"/>
      <c r="F59" s="371"/>
      <c r="G59" s="371"/>
      <c r="H59" s="371"/>
      <c r="I59" s="371"/>
      <c r="J59" s="371"/>
      <c r="K59" s="371"/>
      <c r="L59" s="372"/>
      <c r="M59" s="328"/>
    </row>
    <row r="60" spans="2:13" ht="18" thickBot="1" x14ac:dyDescent="0.3">
      <c r="B60" s="319">
        <v>1</v>
      </c>
      <c r="C60" s="373" t="s">
        <v>164</v>
      </c>
      <c r="D60" s="374"/>
      <c r="E60" s="374"/>
      <c r="F60" s="374"/>
      <c r="G60" s="374"/>
      <c r="H60" s="374"/>
      <c r="I60" s="374"/>
      <c r="J60" s="374"/>
      <c r="K60" s="374"/>
      <c r="L60" s="375"/>
      <c r="M60" s="328"/>
    </row>
    <row r="61" spans="2:13" ht="13.8" thickBot="1" x14ac:dyDescent="0.3">
      <c r="B61" s="320"/>
      <c r="C61" s="320"/>
      <c r="D61" s="320"/>
      <c r="E61" s="320"/>
      <c r="F61" s="320"/>
      <c r="G61" s="320"/>
      <c r="H61" s="320"/>
      <c r="I61" s="320"/>
      <c r="J61" s="320"/>
      <c r="K61" s="320"/>
      <c r="L61" s="320"/>
      <c r="M61" s="320"/>
    </row>
    <row r="62" spans="2:13" ht="13.8" thickBot="1" x14ac:dyDescent="0.3">
      <c r="B62" s="382" t="s">
        <v>144</v>
      </c>
      <c r="C62" s="383"/>
      <c r="D62" s="383"/>
      <c r="E62" s="383"/>
      <c r="F62" s="383"/>
      <c r="G62" s="383"/>
      <c r="H62" s="383"/>
      <c r="I62" s="383"/>
      <c r="J62" s="383"/>
      <c r="K62" s="383"/>
      <c r="L62" s="384"/>
      <c r="M62" s="334"/>
    </row>
    <row r="63" spans="2:13" ht="18" thickBot="1" x14ac:dyDescent="0.3">
      <c r="B63" s="281" t="s">
        <v>75</v>
      </c>
      <c r="C63" s="379" t="s">
        <v>97</v>
      </c>
      <c r="D63" s="380"/>
      <c r="E63" s="380"/>
      <c r="F63" s="380"/>
      <c r="G63" s="380"/>
      <c r="H63" s="380"/>
      <c r="I63" s="380"/>
      <c r="J63" s="380"/>
      <c r="K63" s="380"/>
      <c r="L63" s="381"/>
      <c r="M63" s="335"/>
    </row>
    <row r="64" spans="2:13" ht="17.399999999999999" x14ac:dyDescent="0.25">
      <c r="B64" s="318">
        <v>3</v>
      </c>
      <c r="C64" s="385" t="s">
        <v>147</v>
      </c>
      <c r="D64" s="377"/>
      <c r="E64" s="377"/>
      <c r="F64" s="377"/>
      <c r="G64" s="377"/>
      <c r="H64" s="377"/>
      <c r="I64" s="377"/>
      <c r="J64" s="377"/>
      <c r="K64" s="377"/>
      <c r="L64" s="378"/>
      <c r="M64" s="328"/>
    </row>
    <row r="65" spans="2:13" ht="17.399999999999999" x14ac:dyDescent="0.25">
      <c r="B65" s="318">
        <v>2</v>
      </c>
      <c r="C65" s="386" t="s">
        <v>148</v>
      </c>
      <c r="D65" s="371"/>
      <c r="E65" s="371"/>
      <c r="F65" s="371"/>
      <c r="G65" s="371"/>
      <c r="H65" s="371"/>
      <c r="I65" s="371"/>
      <c r="J65" s="371"/>
      <c r="K65" s="371"/>
      <c r="L65" s="372"/>
      <c r="M65" s="328"/>
    </row>
    <row r="66" spans="2:13" ht="18" thickBot="1" x14ac:dyDescent="0.3">
      <c r="B66" s="319">
        <v>1</v>
      </c>
      <c r="C66" s="387" t="s">
        <v>149</v>
      </c>
      <c r="D66" s="374"/>
      <c r="E66" s="374"/>
      <c r="F66" s="374"/>
      <c r="G66" s="374"/>
      <c r="H66" s="374"/>
      <c r="I66" s="374"/>
      <c r="J66" s="374"/>
      <c r="K66" s="374"/>
      <c r="L66" s="375"/>
      <c r="M66" s="328"/>
    </row>
    <row r="67" spans="2:13" ht="13.8" thickBot="1" x14ac:dyDescent="0.3">
      <c r="B67" s="320"/>
      <c r="C67" s="320"/>
      <c r="D67" s="320"/>
      <c r="E67" s="320"/>
      <c r="F67" s="320"/>
      <c r="G67" s="320"/>
      <c r="H67" s="320"/>
      <c r="I67" s="320"/>
      <c r="J67" s="320"/>
      <c r="K67" s="320"/>
      <c r="L67" s="320"/>
      <c r="M67" s="320"/>
    </row>
    <row r="68" spans="2:13" ht="13.8" thickBot="1" x14ac:dyDescent="0.3">
      <c r="B68" s="382" t="s">
        <v>145</v>
      </c>
      <c r="C68" s="383"/>
      <c r="D68" s="383"/>
      <c r="E68" s="383"/>
      <c r="F68" s="383"/>
      <c r="G68" s="383"/>
      <c r="H68" s="383"/>
      <c r="I68" s="383"/>
      <c r="J68" s="383"/>
      <c r="K68" s="383"/>
      <c r="L68" s="384"/>
      <c r="M68" s="334"/>
    </row>
    <row r="69" spans="2:13" ht="18" thickBot="1" x14ac:dyDescent="0.3">
      <c r="B69" s="281" t="s">
        <v>75</v>
      </c>
      <c r="C69" s="379" t="s">
        <v>97</v>
      </c>
      <c r="D69" s="380"/>
      <c r="E69" s="380"/>
      <c r="F69" s="380"/>
      <c r="G69" s="380"/>
      <c r="H69" s="380"/>
      <c r="I69" s="380"/>
      <c r="J69" s="380"/>
      <c r="K69" s="380"/>
      <c r="L69" s="381"/>
      <c r="M69" s="335"/>
    </row>
    <row r="70" spans="2:13" ht="17.399999999999999" x14ac:dyDescent="0.25">
      <c r="B70" s="318">
        <v>3</v>
      </c>
      <c r="C70" s="370" t="s">
        <v>169</v>
      </c>
      <c r="D70" s="371"/>
      <c r="E70" s="371"/>
      <c r="F70" s="371"/>
      <c r="G70" s="371"/>
      <c r="H70" s="371"/>
      <c r="I70" s="371"/>
      <c r="J70" s="371"/>
      <c r="K70" s="371"/>
      <c r="L70" s="372"/>
      <c r="M70" s="328"/>
    </row>
    <row r="71" spans="2:13" ht="17.399999999999999" x14ac:dyDescent="0.25">
      <c r="B71" s="318">
        <v>2</v>
      </c>
      <c r="C71" s="370" t="s">
        <v>168</v>
      </c>
      <c r="D71" s="371"/>
      <c r="E71" s="371"/>
      <c r="F71" s="371"/>
      <c r="G71" s="371"/>
      <c r="H71" s="371"/>
      <c r="I71" s="371"/>
      <c r="J71" s="371"/>
      <c r="K71" s="371"/>
      <c r="L71" s="372"/>
      <c r="M71" s="328"/>
    </row>
    <row r="72" spans="2:13" ht="18" thickBot="1" x14ac:dyDescent="0.3">
      <c r="B72" s="319">
        <v>1</v>
      </c>
      <c r="C72" s="373" t="s">
        <v>167</v>
      </c>
      <c r="D72" s="374"/>
      <c r="E72" s="374"/>
      <c r="F72" s="374"/>
      <c r="G72" s="374"/>
      <c r="H72" s="374"/>
      <c r="I72" s="374"/>
      <c r="J72" s="374"/>
      <c r="K72" s="374"/>
      <c r="L72" s="375"/>
      <c r="M72" s="328"/>
    </row>
    <row r="73" spans="2:13" ht="13.8" thickBot="1" x14ac:dyDescent="0.3">
      <c r="B73" s="320"/>
      <c r="C73" s="320"/>
      <c r="D73" s="320"/>
      <c r="E73" s="320"/>
      <c r="F73" s="320"/>
      <c r="G73" s="320"/>
      <c r="H73" s="320"/>
      <c r="I73" s="320"/>
      <c r="J73" s="320"/>
      <c r="K73" s="320"/>
      <c r="L73" s="320"/>
      <c r="M73" s="320"/>
    </row>
    <row r="74" spans="2:13" ht="13.8" thickBot="1" x14ac:dyDescent="0.3">
      <c r="B74" s="382" t="s">
        <v>146</v>
      </c>
      <c r="C74" s="383"/>
      <c r="D74" s="383"/>
      <c r="E74" s="383"/>
      <c r="F74" s="383"/>
      <c r="G74" s="383"/>
      <c r="H74" s="383"/>
      <c r="I74" s="383"/>
      <c r="J74" s="383"/>
      <c r="K74" s="383"/>
      <c r="L74" s="384"/>
      <c r="M74" s="334"/>
    </row>
    <row r="75" spans="2:13" ht="18" thickBot="1" x14ac:dyDescent="0.3">
      <c r="B75" s="281" t="s">
        <v>75</v>
      </c>
      <c r="C75" s="379" t="s">
        <v>97</v>
      </c>
      <c r="D75" s="380"/>
      <c r="E75" s="380"/>
      <c r="F75" s="380"/>
      <c r="G75" s="380"/>
      <c r="H75" s="380"/>
      <c r="I75" s="380"/>
      <c r="J75" s="380"/>
      <c r="K75" s="380"/>
      <c r="L75" s="381"/>
      <c r="M75" s="335"/>
    </row>
    <row r="76" spans="2:13" ht="17.399999999999999" x14ac:dyDescent="0.25">
      <c r="B76" s="318">
        <v>3</v>
      </c>
      <c r="C76" s="376" t="s">
        <v>172</v>
      </c>
      <c r="D76" s="377"/>
      <c r="E76" s="377"/>
      <c r="F76" s="377"/>
      <c r="G76" s="377"/>
      <c r="H76" s="377"/>
      <c r="I76" s="377"/>
      <c r="J76" s="377"/>
      <c r="K76" s="377"/>
      <c r="L76" s="378"/>
      <c r="M76" s="328"/>
    </row>
    <row r="77" spans="2:13" ht="17.399999999999999" x14ac:dyDescent="0.25">
      <c r="B77" s="318">
        <v>2</v>
      </c>
      <c r="C77" s="370" t="s">
        <v>171</v>
      </c>
      <c r="D77" s="371"/>
      <c r="E77" s="371"/>
      <c r="F77" s="371"/>
      <c r="G77" s="371"/>
      <c r="H77" s="371"/>
      <c r="I77" s="371"/>
      <c r="J77" s="371"/>
      <c r="K77" s="371"/>
      <c r="L77" s="372"/>
      <c r="M77" s="328"/>
    </row>
    <row r="78" spans="2:13" ht="18" thickBot="1" x14ac:dyDescent="0.3">
      <c r="B78" s="319">
        <v>1</v>
      </c>
      <c r="C78" s="373" t="s">
        <v>170</v>
      </c>
      <c r="D78" s="374"/>
      <c r="E78" s="374"/>
      <c r="F78" s="374"/>
      <c r="G78" s="374"/>
      <c r="H78" s="374"/>
      <c r="I78" s="374"/>
      <c r="J78" s="374"/>
      <c r="K78" s="374"/>
      <c r="L78" s="375"/>
      <c r="M78" s="328"/>
    </row>
  </sheetData>
  <mergeCells count="52">
    <mergeCell ref="A1:J1"/>
    <mergeCell ref="A2:J2"/>
    <mergeCell ref="A7:J7"/>
    <mergeCell ref="A8:J8"/>
    <mergeCell ref="C13:F13"/>
    <mergeCell ref="I13:L13"/>
    <mergeCell ref="C10:R10"/>
    <mergeCell ref="O13:R13"/>
    <mergeCell ref="B30:L30"/>
    <mergeCell ref="B36:L36"/>
    <mergeCell ref="B42:L42"/>
    <mergeCell ref="B50:L50"/>
    <mergeCell ref="C38:L38"/>
    <mergeCell ref="C39:L39"/>
    <mergeCell ref="C40:L40"/>
    <mergeCell ref="C44:L44"/>
    <mergeCell ref="C32:L32"/>
    <mergeCell ref="C33:L33"/>
    <mergeCell ref="C34:L34"/>
    <mergeCell ref="C37:L37"/>
    <mergeCell ref="C43:L43"/>
    <mergeCell ref="C45:L45"/>
    <mergeCell ref="C46:L46"/>
    <mergeCell ref="C53:L53"/>
    <mergeCell ref="C63:L63"/>
    <mergeCell ref="C69:L69"/>
    <mergeCell ref="B74:L74"/>
    <mergeCell ref="C75:L75"/>
    <mergeCell ref="C64:L64"/>
    <mergeCell ref="C65:L65"/>
    <mergeCell ref="C66:L66"/>
    <mergeCell ref="C72:L72"/>
    <mergeCell ref="B62:L62"/>
    <mergeCell ref="B68:L68"/>
    <mergeCell ref="C57:L57"/>
    <mergeCell ref="B56:L56"/>
    <mergeCell ref="W13:Z13"/>
    <mergeCell ref="AC13:AF13"/>
    <mergeCell ref="AI13:AL13"/>
    <mergeCell ref="C77:L77"/>
    <mergeCell ref="C78:L78"/>
    <mergeCell ref="C54:L54"/>
    <mergeCell ref="C58:L58"/>
    <mergeCell ref="C59:L59"/>
    <mergeCell ref="C60:L60"/>
    <mergeCell ref="C70:L70"/>
    <mergeCell ref="C71:L71"/>
    <mergeCell ref="C47:L47"/>
    <mergeCell ref="C48:L48"/>
    <mergeCell ref="C52:L52"/>
    <mergeCell ref="C51:L51"/>
    <mergeCell ref="C76:L7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56"/>
  <sheetViews>
    <sheetView topLeftCell="A192" workbookViewId="0">
      <selection activeCell="B206" sqref="B206"/>
    </sheetView>
  </sheetViews>
  <sheetFormatPr defaultColWidth="14.44140625" defaultRowHeight="15.75" customHeight="1" x14ac:dyDescent="0.25"/>
  <cols>
    <col min="1" max="1" width="26.6640625" customWidth="1"/>
    <col min="2" max="2" width="8.77734375" customWidth="1"/>
    <col min="7" max="7" width="14.44140625" customWidth="1"/>
  </cols>
  <sheetData>
    <row r="1" spans="1:26" ht="17.399999999999999" x14ac:dyDescent="0.3">
      <c r="A1" s="1" t="s">
        <v>0</v>
      </c>
      <c r="B1" s="3"/>
      <c r="C1" s="3"/>
      <c r="D1" s="3"/>
      <c r="E1" s="4"/>
      <c r="F1" s="4"/>
      <c r="G1" s="1" t="s">
        <v>1</v>
      </c>
      <c r="H1" s="3" t="s">
        <v>1</v>
      </c>
      <c r="I1" s="3"/>
      <c r="J1" s="3"/>
      <c r="K1" s="4"/>
      <c r="L1" s="4"/>
      <c r="M1" s="4"/>
      <c r="N1" s="4"/>
      <c r="O1" s="4"/>
      <c r="P1" s="4"/>
      <c r="Q1" s="4"/>
      <c r="R1" s="4"/>
      <c r="S1" s="4"/>
      <c r="T1" s="4"/>
      <c r="U1" s="4"/>
      <c r="V1" s="4"/>
      <c r="W1" s="4"/>
      <c r="X1" s="4"/>
      <c r="Y1" s="4"/>
      <c r="Z1" s="4"/>
    </row>
    <row r="2" spans="1:26" ht="17.399999999999999" x14ac:dyDescent="0.3">
      <c r="A2" s="3" t="s">
        <v>3</v>
      </c>
      <c r="B2" s="3"/>
      <c r="C2" s="4"/>
      <c r="D2" s="4"/>
      <c r="E2" s="4"/>
      <c r="F2" s="4"/>
      <c r="G2" s="4"/>
      <c r="H2" s="4"/>
      <c r="I2" s="4"/>
      <c r="J2" s="4"/>
      <c r="K2" s="4"/>
      <c r="L2" s="4"/>
      <c r="M2" s="4"/>
      <c r="N2" s="4"/>
      <c r="O2" s="4"/>
      <c r="P2" s="4"/>
      <c r="Q2" s="4"/>
      <c r="R2" s="4"/>
      <c r="S2" s="4"/>
      <c r="T2" s="4"/>
      <c r="U2" s="4"/>
      <c r="V2" s="4"/>
      <c r="W2" s="4"/>
      <c r="X2" s="4"/>
      <c r="Y2" s="4"/>
      <c r="Z2" s="4"/>
    </row>
    <row r="3" spans="1:26" ht="17.399999999999999" x14ac:dyDescent="0.3">
      <c r="A3" s="6"/>
      <c r="B3" s="6"/>
      <c r="C3" s="6"/>
      <c r="D3" s="6"/>
      <c r="E3" s="6"/>
      <c r="F3" s="6"/>
      <c r="G3" s="6"/>
      <c r="H3" s="6"/>
      <c r="I3" s="6"/>
      <c r="J3" s="6"/>
      <c r="K3" s="6"/>
      <c r="L3" s="6"/>
      <c r="M3" s="6"/>
      <c r="N3" s="6"/>
      <c r="O3" s="6"/>
      <c r="P3" s="6"/>
      <c r="Q3" s="6"/>
      <c r="R3" s="6"/>
      <c r="S3" s="6"/>
      <c r="T3" s="6"/>
      <c r="U3" s="6"/>
      <c r="V3" s="6"/>
      <c r="W3" s="6"/>
      <c r="X3" s="6"/>
      <c r="Y3" s="6"/>
      <c r="Z3" s="6"/>
    </row>
    <row r="4" spans="1:26" s="173" customFormat="1" ht="17.399999999999999" x14ac:dyDescent="0.3">
      <c r="A4" s="174" t="s">
        <v>5</v>
      </c>
      <c r="B4" s="175"/>
      <c r="C4" s="175"/>
      <c r="D4" s="175"/>
      <c r="E4" s="175"/>
      <c r="F4" s="175"/>
      <c r="G4" s="175"/>
      <c r="H4" s="175"/>
      <c r="I4" s="175"/>
      <c r="J4" s="175"/>
      <c r="K4" s="175"/>
      <c r="L4" s="175"/>
      <c r="M4" s="175"/>
      <c r="N4" s="175"/>
      <c r="O4" s="175"/>
      <c r="P4" s="175"/>
      <c r="Q4" s="175"/>
      <c r="R4" s="175"/>
      <c r="S4" s="175"/>
      <c r="T4" s="175"/>
      <c r="U4" s="175"/>
      <c r="V4" s="175"/>
      <c r="W4" s="175"/>
      <c r="X4" s="175"/>
      <c r="Y4" s="175"/>
      <c r="Z4" s="175"/>
    </row>
    <row r="5" spans="1:26" ht="17.399999999999999" x14ac:dyDescent="0.3">
      <c r="A5" s="1" t="s">
        <v>98</v>
      </c>
      <c r="B5" s="3"/>
      <c r="C5" s="3"/>
      <c r="D5" s="4"/>
      <c r="E5" s="4"/>
      <c r="F5" s="4"/>
      <c r="G5" s="4"/>
      <c r="H5" s="4"/>
      <c r="I5" s="4"/>
      <c r="J5" s="4"/>
      <c r="K5" s="4"/>
      <c r="L5" s="4"/>
      <c r="M5" s="4"/>
      <c r="N5" s="4"/>
      <c r="O5" s="4"/>
      <c r="P5" s="4"/>
      <c r="Q5" s="4"/>
      <c r="R5" s="4"/>
      <c r="S5" s="4"/>
      <c r="T5" s="4"/>
      <c r="U5" s="4"/>
      <c r="V5" s="4"/>
      <c r="W5" s="4"/>
      <c r="X5" s="4"/>
      <c r="Y5" s="4"/>
      <c r="Z5" s="4"/>
    </row>
    <row r="6" spans="1:26" ht="17.399999999999999" x14ac:dyDescent="0.3">
      <c r="A6" s="4" t="s">
        <v>99</v>
      </c>
      <c r="B6" s="4"/>
      <c r="C6" s="51"/>
      <c r="D6" s="51"/>
      <c r="E6" s="51"/>
      <c r="F6" s="4"/>
      <c r="G6" s="4"/>
      <c r="H6" s="4"/>
      <c r="I6" s="4"/>
      <c r="J6" s="4"/>
      <c r="K6" s="4"/>
      <c r="L6" s="4"/>
      <c r="M6" s="4"/>
      <c r="N6" s="4"/>
      <c r="O6" s="4"/>
      <c r="P6" s="4"/>
      <c r="Q6" s="4"/>
      <c r="R6" s="4"/>
      <c r="S6" s="4"/>
      <c r="T6" s="4"/>
      <c r="U6" s="4"/>
      <c r="V6" s="4"/>
      <c r="W6" s="4"/>
      <c r="X6" s="4"/>
      <c r="Y6" s="4"/>
      <c r="Z6" s="4"/>
    </row>
    <row r="7" spans="1:26" ht="18" thickBot="1" x14ac:dyDescent="0.35">
      <c r="A7" s="4"/>
      <c r="B7" s="4"/>
      <c r="C7" s="51"/>
      <c r="D7" s="51"/>
      <c r="E7" s="51"/>
      <c r="F7" s="4"/>
      <c r="G7" s="4"/>
      <c r="H7" s="4"/>
      <c r="I7" s="4"/>
      <c r="J7" s="4"/>
      <c r="K7" s="4"/>
      <c r="L7" s="4"/>
      <c r="M7" s="4"/>
      <c r="N7" s="4"/>
      <c r="O7" s="4"/>
      <c r="P7" s="4"/>
      <c r="Q7" s="4"/>
      <c r="R7" s="4"/>
      <c r="S7" s="4"/>
      <c r="T7" s="4"/>
      <c r="U7" s="4"/>
      <c r="V7" s="4"/>
      <c r="W7" s="4"/>
      <c r="X7" s="4"/>
      <c r="Y7" s="4"/>
      <c r="Z7" s="4"/>
    </row>
    <row r="8" spans="1:26" ht="18" thickBot="1" x14ac:dyDescent="0.35">
      <c r="A8" s="4"/>
      <c r="B8" s="51"/>
      <c r="C8" s="360" t="s">
        <v>100</v>
      </c>
      <c r="D8" s="361"/>
      <c r="E8" s="362"/>
      <c r="F8" s="4"/>
      <c r="G8" s="4"/>
      <c r="H8" s="4"/>
      <c r="I8" s="4"/>
      <c r="J8" s="4"/>
      <c r="K8" s="4"/>
      <c r="L8" s="10"/>
      <c r="M8" s="4"/>
      <c r="N8" s="4"/>
      <c r="O8" s="10"/>
      <c r="P8" s="4"/>
      <c r="Q8" s="4"/>
      <c r="R8" s="4"/>
      <c r="S8" s="4"/>
      <c r="T8" s="4"/>
      <c r="U8" s="4"/>
      <c r="V8" s="4"/>
      <c r="W8" s="4"/>
      <c r="X8" s="4"/>
      <c r="Y8" s="4"/>
      <c r="Z8" s="4"/>
    </row>
    <row r="9" spans="1:26" ht="19.05" customHeight="1" thickBot="1" x14ac:dyDescent="0.4">
      <c r="A9" s="10" t="s">
        <v>76</v>
      </c>
      <c r="B9" s="51"/>
      <c r="C9" s="158" t="s">
        <v>8</v>
      </c>
      <c r="D9" s="159" t="s">
        <v>9</v>
      </c>
      <c r="E9" s="160" t="s">
        <v>18</v>
      </c>
      <c r="F9" s="10"/>
      <c r="G9" s="10"/>
      <c r="H9" s="4"/>
      <c r="I9" s="4"/>
      <c r="J9" s="4"/>
      <c r="K9" s="10"/>
      <c r="L9" s="11"/>
      <c r="M9" s="11"/>
      <c r="N9" s="11"/>
      <c r="O9" s="4"/>
      <c r="P9" s="4"/>
      <c r="Q9" s="4"/>
      <c r="R9" s="4"/>
      <c r="S9" s="4"/>
      <c r="T9" s="4"/>
      <c r="U9" s="4"/>
      <c r="V9" s="4"/>
      <c r="W9" s="4"/>
      <c r="X9" s="4"/>
      <c r="Y9" s="4"/>
      <c r="Z9" s="4"/>
    </row>
    <row r="10" spans="1:26" ht="17.399999999999999" x14ac:dyDescent="0.3">
      <c r="A10" s="47" t="s">
        <v>79</v>
      </c>
      <c r="B10" s="161"/>
      <c r="C10" s="49"/>
      <c r="D10" s="51"/>
      <c r="E10" s="57"/>
      <c r="F10" s="4"/>
      <c r="G10" s="4"/>
      <c r="H10" s="4"/>
      <c r="I10" s="4"/>
      <c r="J10" s="4"/>
      <c r="K10" s="4"/>
      <c r="L10" s="4"/>
      <c r="M10" s="4"/>
      <c r="N10" s="4"/>
      <c r="O10" s="4"/>
      <c r="P10" s="4"/>
      <c r="Q10" s="4"/>
      <c r="R10" s="4"/>
      <c r="S10" s="4"/>
      <c r="T10" s="4"/>
      <c r="U10" s="4"/>
      <c r="V10" s="4"/>
      <c r="W10" s="4"/>
      <c r="X10" s="4"/>
      <c r="Y10" s="4"/>
      <c r="Z10" s="4"/>
    </row>
    <row r="11" spans="1:26" ht="17.399999999999999" x14ac:dyDescent="0.3">
      <c r="A11" s="47" t="s">
        <v>10</v>
      </c>
      <c r="B11" s="102"/>
      <c r="C11" s="48"/>
      <c r="D11" s="51"/>
      <c r="E11" s="57"/>
      <c r="F11" s="4"/>
      <c r="G11" s="4"/>
      <c r="H11" s="4"/>
      <c r="I11" s="4"/>
      <c r="J11" s="4"/>
      <c r="K11" s="4"/>
      <c r="L11" s="4"/>
      <c r="M11" s="4"/>
      <c r="N11" s="4"/>
      <c r="O11" s="4"/>
      <c r="P11" s="4"/>
      <c r="Q11" s="4"/>
      <c r="R11" s="4"/>
      <c r="S11" s="4"/>
      <c r="T11" s="4"/>
      <c r="U11" s="4"/>
      <c r="V11" s="4"/>
      <c r="W11" s="4"/>
      <c r="X11" s="4"/>
      <c r="Y11" s="4"/>
      <c r="Z11" s="4"/>
    </row>
    <row r="12" spans="1:26" ht="17.399999999999999" x14ac:dyDescent="0.3">
      <c r="A12" s="47" t="s">
        <v>11</v>
      </c>
      <c r="B12" s="102"/>
      <c r="C12" s="49"/>
      <c r="D12" s="51"/>
      <c r="E12" s="57"/>
      <c r="F12" s="4"/>
      <c r="G12" s="4"/>
      <c r="H12" s="4"/>
      <c r="I12" s="4"/>
      <c r="J12" s="4"/>
      <c r="K12" s="4"/>
      <c r="L12" s="4"/>
      <c r="M12" s="4"/>
      <c r="N12" s="4"/>
      <c r="O12" s="4"/>
      <c r="P12" s="4"/>
      <c r="Q12" s="4"/>
      <c r="R12" s="4"/>
      <c r="S12" s="4"/>
      <c r="T12" s="4"/>
      <c r="U12" s="4"/>
      <c r="V12" s="4"/>
      <c r="W12" s="4"/>
      <c r="X12" s="4"/>
      <c r="Y12" s="4"/>
      <c r="Z12" s="4"/>
    </row>
    <row r="13" spans="1:26" ht="17.399999999999999" x14ac:dyDescent="0.3">
      <c r="A13" s="47" t="s">
        <v>12</v>
      </c>
      <c r="B13" s="161"/>
      <c r="C13" s="49"/>
      <c r="D13" s="51"/>
      <c r="E13" s="57"/>
      <c r="F13" s="4"/>
      <c r="G13" s="4"/>
      <c r="H13" s="4"/>
      <c r="I13" s="4"/>
      <c r="J13" s="4"/>
      <c r="K13" s="4"/>
      <c r="L13" s="4"/>
      <c r="M13" s="4"/>
      <c r="N13" s="4"/>
      <c r="O13" s="4"/>
      <c r="P13" s="4"/>
      <c r="Q13" s="4"/>
      <c r="R13" s="4"/>
      <c r="S13" s="4"/>
      <c r="T13" s="4"/>
      <c r="U13" s="4"/>
      <c r="V13" s="4"/>
      <c r="W13" s="4"/>
      <c r="X13" s="4"/>
      <c r="Y13" s="4"/>
      <c r="Z13" s="4"/>
    </row>
    <row r="14" spans="1:26" ht="17.399999999999999" x14ac:dyDescent="0.3">
      <c r="A14" s="46" t="s">
        <v>13</v>
      </c>
      <c r="B14" s="47"/>
      <c r="C14" s="49"/>
      <c r="D14" s="51"/>
      <c r="E14" s="57"/>
      <c r="F14" s="4"/>
      <c r="G14" s="4"/>
      <c r="H14" s="4"/>
      <c r="I14" s="4"/>
      <c r="J14" s="4"/>
      <c r="K14" s="4"/>
      <c r="L14" s="4"/>
      <c r="M14" s="4"/>
      <c r="N14" s="4"/>
      <c r="O14" s="4"/>
      <c r="P14" s="4"/>
      <c r="Q14" s="4"/>
      <c r="R14" s="4"/>
      <c r="S14" s="4"/>
      <c r="T14" s="4"/>
      <c r="U14" s="4"/>
      <c r="V14" s="4"/>
      <c r="W14" s="4"/>
      <c r="X14" s="4"/>
      <c r="Y14" s="4"/>
      <c r="Z14" s="4"/>
    </row>
    <row r="15" spans="1:26" ht="17.399999999999999" x14ac:dyDescent="0.3">
      <c r="A15" s="19" t="s">
        <v>14</v>
      </c>
      <c r="B15" s="47"/>
      <c r="C15" s="50"/>
      <c r="D15" s="71"/>
      <c r="E15" s="72"/>
      <c r="F15" s="4"/>
      <c r="G15" s="4"/>
      <c r="H15" s="4"/>
      <c r="I15" s="4"/>
      <c r="J15" s="4"/>
      <c r="K15" s="4"/>
      <c r="L15" s="4"/>
      <c r="M15" s="4"/>
      <c r="N15" s="4"/>
      <c r="O15" s="4"/>
      <c r="P15" s="4"/>
      <c r="Q15" s="4"/>
      <c r="R15" s="4"/>
      <c r="S15" s="4"/>
      <c r="T15" s="4"/>
      <c r="U15" s="4"/>
      <c r="V15" s="4"/>
      <c r="W15" s="4"/>
      <c r="X15" s="4"/>
      <c r="Y15" s="4"/>
      <c r="Z15" s="4"/>
    </row>
    <row r="16" spans="1:26" ht="17.399999999999999" x14ac:dyDescent="0.3">
      <c r="A16" s="47" t="s">
        <v>15</v>
      </c>
      <c r="B16" s="102"/>
      <c r="C16" s="49"/>
      <c r="D16" s="51"/>
      <c r="E16" s="57"/>
      <c r="F16" s="4"/>
      <c r="G16" s="4"/>
      <c r="H16" s="4"/>
      <c r="I16" s="4"/>
      <c r="J16" s="4"/>
      <c r="K16" s="4"/>
      <c r="L16" s="4"/>
      <c r="M16" s="4"/>
      <c r="N16" s="4"/>
      <c r="O16" s="4"/>
      <c r="P16" s="4"/>
      <c r="Q16" s="4"/>
      <c r="R16" s="4"/>
      <c r="S16" s="4"/>
      <c r="T16" s="4"/>
      <c r="U16" s="4"/>
      <c r="V16" s="4"/>
      <c r="W16" s="4"/>
      <c r="X16" s="4"/>
      <c r="Y16" s="4"/>
      <c r="Z16" s="4"/>
    </row>
    <row r="17" spans="1:26" ht="18" thickBot="1" x14ac:dyDescent="0.35">
      <c r="A17" s="19" t="s">
        <v>17</v>
      </c>
      <c r="B17" s="51"/>
      <c r="C17" s="67"/>
      <c r="D17" s="68"/>
      <c r="E17" s="69"/>
      <c r="F17" s="4"/>
      <c r="G17" s="4"/>
      <c r="H17" s="4"/>
      <c r="I17" s="4"/>
      <c r="J17" s="4"/>
      <c r="K17" s="4"/>
      <c r="L17" s="4"/>
      <c r="M17" s="4"/>
      <c r="N17" s="4"/>
      <c r="O17" s="4"/>
      <c r="P17" s="4"/>
      <c r="Q17" s="4"/>
      <c r="R17" s="4"/>
      <c r="S17" s="4"/>
      <c r="T17" s="4"/>
      <c r="U17" s="4"/>
      <c r="V17" s="4"/>
      <c r="W17" s="4"/>
      <c r="X17" s="4"/>
      <c r="Y17" s="4"/>
      <c r="Z17" s="4"/>
    </row>
    <row r="18" spans="1:26" ht="18" thickBot="1" x14ac:dyDescent="0.35">
      <c r="A18" s="10" t="s">
        <v>44</v>
      </c>
      <c r="B18" s="9"/>
      <c r="C18" s="6"/>
      <c r="D18" s="6"/>
      <c r="E18" s="20"/>
      <c r="F18" s="4"/>
      <c r="G18" s="4"/>
      <c r="H18" s="4"/>
      <c r="I18" s="4"/>
      <c r="J18" s="4"/>
      <c r="K18" s="4"/>
      <c r="L18" s="4"/>
      <c r="M18" s="4"/>
      <c r="N18" s="4"/>
      <c r="O18" s="4"/>
      <c r="P18" s="4"/>
      <c r="Q18" s="4"/>
      <c r="R18" s="4"/>
      <c r="S18" s="4"/>
      <c r="T18" s="4"/>
      <c r="U18" s="4"/>
      <c r="V18" s="4"/>
      <c r="W18" s="4"/>
      <c r="X18" s="4"/>
      <c r="Y18" s="4"/>
      <c r="Z18" s="4"/>
    </row>
    <row r="19" spans="1:26" ht="17.399999999999999" x14ac:dyDescent="0.3">
      <c r="A19" s="10"/>
      <c r="B19" s="4"/>
      <c r="C19" s="4"/>
      <c r="D19" s="4"/>
      <c r="E19" s="4"/>
      <c r="F19" s="4"/>
      <c r="G19" s="4"/>
      <c r="H19" s="4"/>
      <c r="I19" s="4"/>
      <c r="J19" s="4"/>
      <c r="K19" s="4"/>
      <c r="L19" s="4"/>
      <c r="M19" s="4"/>
      <c r="N19" s="4"/>
      <c r="O19" s="4"/>
      <c r="P19" s="4"/>
      <c r="Q19" s="4"/>
      <c r="R19" s="4"/>
      <c r="S19" s="4"/>
      <c r="T19" s="4"/>
      <c r="U19" s="4"/>
      <c r="V19" s="4"/>
      <c r="W19" s="4"/>
      <c r="X19" s="4"/>
      <c r="Y19" s="4"/>
      <c r="Z19" s="4"/>
    </row>
    <row r="20" spans="1:26" ht="18" thickBot="1" x14ac:dyDescent="0.35">
      <c r="A20" s="1" t="s">
        <v>112</v>
      </c>
      <c r="B20" s="3"/>
      <c r="C20" s="4"/>
      <c r="D20" s="4"/>
      <c r="E20" s="4"/>
      <c r="F20" s="4"/>
      <c r="G20" s="4"/>
      <c r="H20" s="4"/>
      <c r="I20" s="4"/>
      <c r="J20" s="4"/>
      <c r="K20" s="4"/>
      <c r="L20" s="4"/>
      <c r="M20" s="4"/>
      <c r="N20" s="4"/>
      <c r="O20" s="4"/>
      <c r="P20" s="4"/>
      <c r="Q20" s="4"/>
      <c r="R20" s="4"/>
      <c r="S20" s="4"/>
      <c r="T20" s="4"/>
      <c r="U20" s="4"/>
      <c r="V20" s="4"/>
      <c r="W20" s="4"/>
      <c r="X20" s="4"/>
      <c r="Y20" s="4"/>
      <c r="Z20" s="4"/>
    </row>
    <row r="21" spans="1:26" ht="18" thickBot="1" x14ac:dyDescent="0.35">
      <c r="B21" s="153" t="s">
        <v>75</v>
      </c>
      <c r="C21" s="151" t="s">
        <v>97</v>
      </c>
      <c r="D21" s="90"/>
      <c r="E21" s="90"/>
      <c r="F21" s="90"/>
      <c r="G21" s="90"/>
      <c r="H21" s="90"/>
      <c r="I21" s="90"/>
      <c r="J21" s="90"/>
      <c r="K21" s="90"/>
      <c r="L21" s="90"/>
      <c r="M21" s="90"/>
      <c r="N21" s="90"/>
      <c r="O21" s="91"/>
      <c r="P21" s="4"/>
      <c r="Q21" s="4"/>
      <c r="R21" s="4"/>
      <c r="S21" s="4"/>
      <c r="T21" s="4"/>
      <c r="U21" s="4"/>
      <c r="V21" s="4"/>
      <c r="W21" s="4"/>
      <c r="X21" s="4"/>
      <c r="Y21" s="4"/>
      <c r="Z21" s="4"/>
    </row>
    <row r="22" spans="1:26" ht="17.399999999999999" x14ac:dyDescent="0.3">
      <c r="B22" s="154">
        <v>5</v>
      </c>
      <c r="C22" s="52" t="s">
        <v>21</v>
      </c>
      <c r="D22" s="52"/>
      <c r="E22" s="52"/>
      <c r="F22" s="52"/>
      <c r="G22" s="52"/>
      <c r="H22" s="52"/>
      <c r="I22" s="52"/>
      <c r="J22" s="52"/>
      <c r="K22" s="52"/>
      <c r="L22" s="52"/>
      <c r="M22" s="52"/>
      <c r="N22" s="52"/>
      <c r="O22" s="53"/>
      <c r="P22" s="4"/>
      <c r="Q22" s="4"/>
      <c r="R22" s="4"/>
      <c r="S22" s="4"/>
      <c r="T22" s="4"/>
      <c r="U22" s="4"/>
      <c r="V22" s="4"/>
      <c r="W22" s="4"/>
      <c r="X22" s="4"/>
      <c r="Y22" s="4"/>
      <c r="Z22" s="4"/>
    </row>
    <row r="23" spans="1:26" ht="17.399999999999999" x14ac:dyDescent="0.3">
      <c r="B23" s="155">
        <v>4</v>
      </c>
      <c r="C23" s="51" t="s">
        <v>22</v>
      </c>
      <c r="D23" s="51"/>
      <c r="E23" s="51"/>
      <c r="F23" s="51"/>
      <c r="G23" s="51"/>
      <c r="H23" s="51"/>
      <c r="I23" s="51"/>
      <c r="J23" s="51"/>
      <c r="K23" s="51"/>
      <c r="L23" s="51"/>
      <c r="M23" s="51"/>
      <c r="N23" s="51"/>
      <c r="O23" s="57"/>
      <c r="P23" s="4"/>
      <c r="Q23" s="4"/>
      <c r="R23" s="4"/>
      <c r="S23" s="4"/>
      <c r="T23" s="4"/>
      <c r="U23" s="4"/>
      <c r="V23" s="4"/>
      <c r="W23" s="4"/>
      <c r="X23" s="4"/>
      <c r="Y23" s="4"/>
      <c r="Z23" s="4"/>
    </row>
    <row r="24" spans="1:26" ht="17.399999999999999" x14ac:dyDescent="0.3">
      <c r="B24" s="155">
        <v>3</v>
      </c>
      <c r="C24" s="51" t="s">
        <v>23</v>
      </c>
      <c r="D24" s="51"/>
      <c r="E24" s="51"/>
      <c r="F24" s="51"/>
      <c r="G24" s="51"/>
      <c r="H24" s="51"/>
      <c r="I24" s="51"/>
      <c r="J24" s="51"/>
      <c r="K24" s="51"/>
      <c r="L24" s="51"/>
      <c r="M24" s="51"/>
      <c r="N24" s="51"/>
      <c r="O24" s="57"/>
      <c r="P24" s="3"/>
      <c r="Q24" s="4"/>
      <c r="R24" s="4"/>
      <c r="S24" s="4"/>
      <c r="T24" s="4"/>
      <c r="U24" s="4"/>
      <c r="V24" s="4"/>
      <c r="W24" s="4"/>
      <c r="X24" s="4"/>
      <c r="Y24" s="4"/>
      <c r="Z24" s="4"/>
    </row>
    <row r="25" spans="1:26" ht="17.399999999999999" x14ac:dyDescent="0.3">
      <c r="B25" s="155">
        <v>2</v>
      </c>
      <c r="C25" s="51" t="s">
        <v>24</v>
      </c>
      <c r="D25" s="51"/>
      <c r="E25" s="51"/>
      <c r="F25" s="51"/>
      <c r="G25" s="51"/>
      <c r="H25" s="51"/>
      <c r="I25" s="51"/>
      <c r="J25" s="51"/>
      <c r="K25" s="51"/>
      <c r="L25" s="51"/>
      <c r="M25" s="51"/>
      <c r="N25" s="51"/>
      <c r="O25" s="57"/>
      <c r="P25" s="3"/>
      <c r="Q25" s="4"/>
      <c r="R25" s="4"/>
      <c r="S25" s="4"/>
      <c r="T25" s="4"/>
      <c r="U25" s="4"/>
      <c r="V25" s="4"/>
      <c r="W25" s="4"/>
      <c r="X25" s="4"/>
      <c r="Y25" s="4"/>
      <c r="Z25" s="4"/>
    </row>
    <row r="26" spans="1:26" ht="18" thickBot="1" x14ac:dyDescent="0.35">
      <c r="B26" s="156">
        <v>1</v>
      </c>
      <c r="C26" s="68" t="s">
        <v>25</v>
      </c>
      <c r="D26" s="68"/>
      <c r="E26" s="68"/>
      <c r="F26" s="68"/>
      <c r="G26" s="68"/>
      <c r="H26" s="68"/>
      <c r="I26" s="68"/>
      <c r="J26" s="68"/>
      <c r="K26" s="68"/>
      <c r="L26" s="68"/>
      <c r="M26" s="68"/>
      <c r="N26" s="68"/>
      <c r="O26" s="69"/>
      <c r="P26" s="4"/>
      <c r="Q26" s="4"/>
      <c r="R26" s="4"/>
      <c r="S26" s="4"/>
      <c r="T26" s="4"/>
      <c r="U26" s="4"/>
      <c r="V26" s="4"/>
      <c r="W26" s="4"/>
      <c r="X26" s="4"/>
      <c r="Y26" s="4"/>
      <c r="Z26" s="4"/>
    </row>
    <row r="27" spans="1:26" ht="18" thickBot="1" x14ac:dyDescent="0.35">
      <c r="A27" s="22"/>
      <c r="B27" s="6"/>
      <c r="C27" s="6"/>
      <c r="D27" s="6"/>
      <c r="E27" s="6"/>
      <c r="F27" s="6"/>
      <c r="G27" s="6"/>
      <c r="H27" s="6"/>
      <c r="I27" s="6"/>
      <c r="J27" s="6"/>
      <c r="K27" s="6"/>
      <c r="L27" s="6"/>
      <c r="M27" s="6"/>
      <c r="N27" s="6"/>
      <c r="O27" s="6"/>
      <c r="P27" s="6"/>
      <c r="Q27" s="6"/>
      <c r="R27" s="6"/>
      <c r="S27" s="6"/>
      <c r="T27" s="6"/>
      <c r="U27" s="6"/>
      <c r="V27" s="6"/>
      <c r="W27" s="6"/>
      <c r="X27" s="6"/>
      <c r="Y27" s="6"/>
      <c r="Z27" s="6"/>
    </row>
    <row r="28" spans="1:26" ht="18" thickBot="1" x14ac:dyDescent="0.35">
      <c r="A28" s="23" t="s">
        <v>26</v>
      </c>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8" thickBot="1" x14ac:dyDescent="0.35">
      <c r="A29" s="4"/>
      <c r="B29" s="4"/>
      <c r="C29" s="51"/>
      <c r="D29" s="51"/>
      <c r="E29" s="51"/>
      <c r="F29" s="51"/>
      <c r="G29" s="51"/>
      <c r="H29" s="4"/>
      <c r="I29" s="4"/>
      <c r="J29" s="4"/>
      <c r="K29" s="4"/>
      <c r="L29" s="4"/>
      <c r="M29" s="4"/>
      <c r="N29" s="4"/>
      <c r="O29" s="4"/>
      <c r="P29" s="4"/>
      <c r="Q29" s="4"/>
      <c r="R29" s="4"/>
      <c r="S29" s="4"/>
      <c r="T29" s="4"/>
      <c r="U29" s="4"/>
      <c r="V29" s="4"/>
      <c r="W29" s="4"/>
      <c r="X29" s="4"/>
      <c r="Y29" s="4"/>
      <c r="Z29" s="4"/>
    </row>
    <row r="30" spans="1:26" ht="18" thickBot="1" x14ac:dyDescent="0.35">
      <c r="A30" s="4"/>
      <c r="B30" s="51"/>
      <c r="C30" s="360" t="s">
        <v>100</v>
      </c>
      <c r="D30" s="361"/>
      <c r="E30" s="362"/>
      <c r="F30" s="49"/>
      <c r="G30" s="51"/>
      <c r="H30" s="51"/>
      <c r="I30" s="4"/>
      <c r="J30" s="4"/>
      <c r="K30" s="4"/>
      <c r="L30" s="10"/>
      <c r="M30" s="4"/>
      <c r="N30" s="4"/>
      <c r="O30" s="10"/>
      <c r="P30" s="4"/>
      <c r="Q30" s="4"/>
      <c r="R30" s="4"/>
      <c r="S30" s="4"/>
      <c r="T30" s="4"/>
      <c r="U30" s="4"/>
      <c r="V30" s="4"/>
      <c r="W30" s="4"/>
      <c r="X30" s="4"/>
      <c r="Y30" s="4"/>
      <c r="Z30" s="4"/>
    </row>
    <row r="31" spans="1:26" ht="18.600000000000001" thickBot="1" x14ac:dyDescent="0.4">
      <c r="A31" s="10" t="s">
        <v>76</v>
      </c>
      <c r="B31" s="51"/>
      <c r="C31" s="147" t="s">
        <v>8</v>
      </c>
      <c r="D31" s="148" t="s">
        <v>9</v>
      </c>
      <c r="E31" s="149" t="s">
        <v>18</v>
      </c>
      <c r="F31" s="150" t="s">
        <v>19</v>
      </c>
      <c r="G31" s="166" t="s">
        <v>20</v>
      </c>
      <c r="H31" s="4"/>
      <c r="I31" s="4"/>
      <c r="J31" s="4"/>
      <c r="K31" s="10"/>
      <c r="L31" s="11"/>
      <c r="M31" s="11"/>
      <c r="N31" s="11"/>
      <c r="O31" s="4"/>
      <c r="P31" s="4"/>
      <c r="Q31" s="4"/>
      <c r="R31" s="4"/>
      <c r="S31" s="4"/>
      <c r="T31" s="4"/>
      <c r="U31" s="4"/>
      <c r="V31" s="4"/>
      <c r="W31" s="4"/>
      <c r="X31" s="4"/>
      <c r="Y31" s="4"/>
      <c r="Z31" s="4"/>
    </row>
    <row r="32" spans="1:26" ht="17.399999999999999" x14ac:dyDescent="0.3">
      <c r="A32" s="46" t="s">
        <v>46</v>
      </c>
      <c r="B32" s="162"/>
      <c r="C32" s="137" t="s">
        <v>28</v>
      </c>
      <c r="D32" s="138" t="s">
        <v>29</v>
      </c>
      <c r="E32" s="139" t="s">
        <v>30</v>
      </c>
      <c r="F32" s="131" t="s">
        <v>31</v>
      </c>
      <c r="G32" s="132"/>
      <c r="H32" s="4"/>
      <c r="I32" s="4"/>
      <c r="J32" s="4"/>
      <c r="K32" s="4"/>
      <c r="L32" s="4"/>
      <c r="M32" s="4"/>
      <c r="N32" s="4"/>
      <c r="O32" s="4"/>
      <c r="P32" s="4"/>
      <c r="Q32" s="4"/>
      <c r="R32" s="4"/>
      <c r="S32" s="4"/>
      <c r="T32" s="4"/>
      <c r="U32" s="4"/>
      <c r="V32" s="4"/>
      <c r="W32" s="4"/>
      <c r="X32" s="4"/>
      <c r="Y32" s="4"/>
      <c r="Z32" s="4"/>
    </row>
    <row r="33" spans="1:26" ht="17.399999999999999" x14ac:dyDescent="0.3">
      <c r="A33" s="46" t="s">
        <v>32</v>
      </c>
      <c r="B33" s="101"/>
      <c r="C33" s="140">
        <v>850</v>
      </c>
      <c r="D33" s="138">
        <v>500</v>
      </c>
      <c r="E33" s="139" t="s">
        <v>33</v>
      </c>
      <c r="F33" s="131"/>
      <c r="G33" s="133">
        <v>1000</v>
      </c>
      <c r="H33" s="4"/>
      <c r="I33" s="4"/>
      <c r="J33" s="4"/>
      <c r="K33" s="4"/>
      <c r="L33" s="4"/>
      <c r="M33" s="4"/>
      <c r="N33" s="4"/>
      <c r="O33" s="4"/>
      <c r="P33" s="4"/>
      <c r="Q33" s="4"/>
      <c r="R33" s="4"/>
      <c r="S33" s="4"/>
      <c r="T33" s="4"/>
      <c r="U33" s="4"/>
      <c r="V33" s="4"/>
      <c r="W33" s="4"/>
      <c r="X33" s="4"/>
      <c r="Y33" s="4"/>
      <c r="Z33" s="4"/>
    </row>
    <row r="34" spans="1:26" ht="17.399999999999999" x14ac:dyDescent="0.3">
      <c r="A34" s="46" t="s">
        <v>118</v>
      </c>
      <c r="B34" s="101"/>
      <c r="C34" s="137">
        <v>5</v>
      </c>
      <c r="D34" s="138">
        <v>3.5</v>
      </c>
      <c r="E34" s="139">
        <v>2</v>
      </c>
      <c r="F34" s="131"/>
      <c r="G34" s="132">
        <v>7</v>
      </c>
      <c r="H34" s="4"/>
      <c r="I34" s="4"/>
      <c r="J34" s="4"/>
      <c r="K34" s="4"/>
      <c r="L34" s="4"/>
      <c r="M34" s="4"/>
      <c r="N34" s="4"/>
      <c r="O34" s="4"/>
      <c r="P34" s="4"/>
      <c r="Q34" s="4"/>
      <c r="R34" s="4"/>
      <c r="S34" s="4"/>
      <c r="T34" s="4"/>
      <c r="U34" s="4"/>
      <c r="V34" s="4"/>
      <c r="W34" s="4"/>
      <c r="X34" s="4"/>
      <c r="Y34" s="4"/>
      <c r="Z34" s="4"/>
    </row>
    <row r="35" spans="1:26" ht="17.399999999999999" x14ac:dyDescent="0.3">
      <c r="A35" s="46" t="s">
        <v>12</v>
      </c>
      <c r="B35" s="162"/>
      <c r="C35" s="137" t="s">
        <v>34</v>
      </c>
      <c r="D35" s="138" t="s">
        <v>35</v>
      </c>
      <c r="E35" s="139" t="s">
        <v>36</v>
      </c>
      <c r="F35" s="131"/>
      <c r="G35" s="132" t="s">
        <v>35</v>
      </c>
      <c r="H35" s="4"/>
      <c r="I35" s="4"/>
      <c r="J35" s="4"/>
      <c r="K35" s="4"/>
      <c r="L35" s="4"/>
      <c r="M35" s="4"/>
      <c r="N35" s="4"/>
      <c r="O35" s="4"/>
      <c r="P35" s="4"/>
      <c r="Q35" s="4"/>
      <c r="R35" s="4"/>
      <c r="S35" s="4"/>
      <c r="T35" s="4"/>
      <c r="U35" s="4"/>
      <c r="V35" s="4"/>
      <c r="W35" s="4"/>
      <c r="X35" s="4"/>
      <c r="Y35" s="4"/>
      <c r="Z35" s="4"/>
    </row>
    <row r="36" spans="1:26" ht="17.399999999999999" x14ac:dyDescent="0.3">
      <c r="A36" s="46" t="s">
        <v>13</v>
      </c>
      <c r="B36" s="47"/>
      <c r="C36" s="137" t="s">
        <v>37</v>
      </c>
      <c r="D36" s="138" t="s">
        <v>38</v>
      </c>
      <c r="E36" s="139" t="s">
        <v>39</v>
      </c>
      <c r="F36" s="131" t="s">
        <v>40</v>
      </c>
      <c r="G36" s="134"/>
      <c r="H36" s="4"/>
      <c r="I36" s="4"/>
      <c r="J36" s="4"/>
      <c r="K36" s="4"/>
      <c r="L36" s="4"/>
      <c r="M36" s="4"/>
      <c r="N36" s="4"/>
      <c r="O36" s="4"/>
      <c r="P36" s="4"/>
      <c r="Q36" s="4"/>
      <c r="R36" s="4"/>
      <c r="S36" s="4"/>
      <c r="T36" s="4"/>
      <c r="U36" s="4"/>
      <c r="V36" s="4"/>
      <c r="W36" s="4"/>
      <c r="X36" s="4"/>
      <c r="Y36" s="4"/>
      <c r="Z36" s="4"/>
    </row>
    <row r="37" spans="1:26" ht="17.399999999999999" x14ac:dyDescent="0.3">
      <c r="A37" s="19" t="s">
        <v>14</v>
      </c>
      <c r="B37" s="47"/>
      <c r="C37" s="141">
        <v>1</v>
      </c>
      <c r="D37" s="142">
        <v>0.8</v>
      </c>
      <c r="E37" s="143">
        <v>0.99</v>
      </c>
      <c r="F37" s="131"/>
      <c r="G37" s="132"/>
      <c r="H37" s="4"/>
      <c r="I37" s="4"/>
      <c r="J37" s="4"/>
      <c r="K37" s="4"/>
      <c r="L37" s="4"/>
      <c r="M37" s="4"/>
      <c r="N37" s="4"/>
      <c r="O37" s="4"/>
      <c r="P37" s="4"/>
      <c r="Q37" s="4"/>
      <c r="R37" s="4"/>
      <c r="S37" s="4"/>
      <c r="T37" s="4"/>
      <c r="U37" s="4"/>
      <c r="V37" s="4"/>
      <c r="W37" s="4"/>
      <c r="X37" s="4"/>
      <c r="Y37" s="4"/>
      <c r="Z37" s="4"/>
    </row>
    <row r="38" spans="1:26" ht="17.399999999999999" x14ac:dyDescent="0.3">
      <c r="A38" s="46" t="s">
        <v>15</v>
      </c>
      <c r="B38" s="101"/>
      <c r="C38" s="137">
        <v>5</v>
      </c>
      <c r="D38" s="138">
        <v>3</v>
      </c>
      <c r="E38" s="139">
        <v>4</v>
      </c>
      <c r="F38" s="131"/>
      <c r="G38" s="132"/>
      <c r="H38" s="3" t="s">
        <v>95</v>
      </c>
      <c r="I38" s="3"/>
      <c r="J38" s="3"/>
      <c r="K38" s="3"/>
      <c r="L38" s="3"/>
      <c r="M38" s="3"/>
      <c r="N38" s="3"/>
      <c r="O38" s="3"/>
      <c r="P38" s="3"/>
      <c r="Q38" s="3"/>
      <c r="R38" s="3"/>
      <c r="S38" s="3"/>
      <c r="T38" s="3"/>
      <c r="U38" s="3"/>
      <c r="V38" s="3"/>
      <c r="W38" s="3"/>
      <c r="X38" s="3"/>
      <c r="Y38" s="4"/>
      <c r="Z38" s="4"/>
    </row>
    <row r="39" spans="1:26" ht="18" thickBot="1" x14ac:dyDescent="0.35">
      <c r="A39" s="19" t="s">
        <v>17</v>
      </c>
      <c r="B39" s="51"/>
      <c r="C39" s="144" t="s">
        <v>41</v>
      </c>
      <c r="D39" s="145" t="s">
        <v>42</v>
      </c>
      <c r="E39" s="146" t="s">
        <v>43</v>
      </c>
      <c r="F39" s="135" t="s">
        <v>42</v>
      </c>
      <c r="G39" s="136"/>
      <c r="H39" s="4" t="s">
        <v>96</v>
      </c>
      <c r="I39" s="4"/>
      <c r="J39" s="4"/>
      <c r="K39" s="4"/>
      <c r="L39" s="4"/>
      <c r="M39" s="4"/>
      <c r="N39" s="4"/>
      <c r="O39" s="4"/>
      <c r="P39" s="4"/>
      <c r="Q39" s="4"/>
      <c r="R39" s="4"/>
      <c r="S39" s="4"/>
      <c r="T39" s="4"/>
      <c r="U39" s="4"/>
      <c r="V39" s="4"/>
      <c r="W39" s="4"/>
      <c r="X39" s="4"/>
      <c r="Y39" s="4"/>
      <c r="Z39" s="4"/>
    </row>
    <row r="40" spans="1:26" ht="18" thickBot="1" x14ac:dyDescent="0.35">
      <c r="A40" s="10" t="s">
        <v>44</v>
      </c>
      <c r="B40" s="9"/>
      <c r="C40" s="6"/>
      <c r="D40" s="6"/>
      <c r="E40" s="20"/>
      <c r="F40" s="4"/>
      <c r="G40" s="4"/>
      <c r="H40" s="4"/>
      <c r="I40" s="4"/>
      <c r="J40" s="4"/>
      <c r="K40" s="4"/>
      <c r="L40" s="4"/>
      <c r="M40" s="4"/>
      <c r="N40" s="4"/>
      <c r="O40" s="4"/>
      <c r="P40" s="4"/>
      <c r="Q40" s="4"/>
      <c r="R40" s="4"/>
      <c r="S40" s="4"/>
      <c r="T40" s="4"/>
      <c r="U40" s="4"/>
      <c r="V40" s="4"/>
      <c r="W40" s="4"/>
      <c r="X40" s="4"/>
      <c r="Y40" s="4"/>
      <c r="Z40" s="4"/>
    </row>
    <row r="41" spans="1:26" ht="18" thickBot="1" x14ac:dyDescent="0.35">
      <c r="A41" s="22"/>
      <c r="B41" s="6"/>
      <c r="C41" s="6"/>
      <c r="D41" s="6"/>
      <c r="E41" s="6"/>
      <c r="F41" s="6"/>
      <c r="G41" s="6"/>
      <c r="H41" s="6"/>
      <c r="I41" s="6"/>
      <c r="J41" s="6"/>
      <c r="K41" s="6"/>
      <c r="L41" s="6"/>
      <c r="M41" s="6"/>
      <c r="N41" s="6"/>
      <c r="O41" s="6"/>
      <c r="P41" s="6"/>
      <c r="Q41" s="6"/>
      <c r="R41" s="6"/>
      <c r="S41" s="6"/>
      <c r="T41" s="6"/>
      <c r="U41" s="6"/>
      <c r="V41" s="6"/>
      <c r="W41" s="6"/>
      <c r="X41" s="6"/>
      <c r="Y41" s="6"/>
      <c r="Z41" s="6"/>
    </row>
    <row r="42" spans="1:26" s="173" customFormat="1" ht="18" thickBot="1" x14ac:dyDescent="0.35">
      <c r="A42" s="171" t="s">
        <v>45</v>
      </c>
      <c r="B42" s="172"/>
      <c r="C42" s="172"/>
      <c r="D42" s="172"/>
      <c r="E42" s="172"/>
      <c r="F42" s="172"/>
      <c r="G42" s="172"/>
      <c r="H42" s="172"/>
      <c r="I42" s="172"/>
      <c r="J42" s="172"/>
      <c r="K42" s="172"/>
      <c r="L42" s="172"/>
      <c r="M42" s="172"/>
      <c r="N42" s="172"/>
      <c r="O42" s="172"/>
      <c r="P42" s="172"/>
      <c r="Q42" s="172"/>
      <c r="R42" s="172"/>
      <c r="S42" s="172"/>
      <c r="T42" s="172"/>
      <c r="U42" s="172"/>
      <c r="V42" s="172"/>
      <c r="W42" s="172"/>
      <c r="X42" s="172"/>
      <c r="Y42" s="172"/>
      <c r="Z42" s="172"/>
    </row>
    <row r="43" spans="1:26" ht="18" thickBot="1" x14ac:dyDescent="0.35">
      <c r="A43" s="10"/>
      <c r="B43" s="4"/>
      <c r="C43" s="51"/>
      <c r="D43" s="51"/>
      <c r="E43" s="51"/>
      <c r="F43" s="51"/>
      <c r="G43" s="51"/>
      <c r="H43" s="6"/>
      <c r="I43" s="6"/>
      <c r="J43" s="6"/>
      <c r="K43" s="4"/>
      <c r="L43" s="4"/>
      <c r="M43" s="4"/>
      <c r="N43" s="4"/>
      <c r="O43" s="4"/>
      <c r="P43" s="4"/>
      <c r="Q43" s="4"/>
      <c r="R43" s="4"/>
      <c r="S43" s="4"/>
      <c r="T43" s="4"/>
      <c r="U43" s="4"/>
      <c r="V43" s="4"/>
      <c r="W43" s="4"/>
      <c r="X43" s="4"/>
      <c r="Y43" s="4"/>
      <c r="Z43" s="4"/>
    </row>
    <row r="44" spans="1:26" ht="18" thickBot="1" x14ac:dyDescent="0.35">
      <c r="A44" s="4"/>
      <c r="B44" s="51"/>
      <c r="C44" s="360" t="s">
        <v>100</v>
      </c>
      <c r="D44" s="361"/>
      <c r="E44" s="362"/>
      <c r="F44" s="49"/>
      <c r="G44" s="200"/>
      <c r="H44" s="398" t="s">
        <v>101</v>
      </c>
      <c r="I44" s="399"/>
      <c r="J44" s="400"/>
      <c r="K44" s="4"/>
      <c r="L44" s="4"/>
      <c r="M44" s="4"/>
      <c r="N44" s="4"/>
      <c r="O44" s="4"/>
      <c r="P44" s="4"/>
      <c r="Q44" s="4"/>
      <c r="R44" s="4"/>
      <c r="S44" s="4"/>
      <c r="T44" s="4"/>
      <c r="U44" s="4"/>
      <c r="V44" s="4"/>
      <c r="W44" s="4"/>
      <c r="X44" s="4"/>
      <c r="Y44" s="4"/>
      <c r="Z44" s="4"/>
    </row>
    <row r="45" spans="1:26" ht="18.600000000000001" thickBot="1" x14ac:dyDescent="0.4">
      <c r="A45" s="10" t="s">
        <v>76</v>
      </c>
      <c r="B45" s="51"/>
      <c r="C45" s="86" t="s">
        <v>8</v>
      </c>
      <c r="D45" s="87" t="s">
        <v>9</v>
      </c>
      <c r="E45" s="88" t="s">
        <v>18</v>
      </c>
      <c r="F45" s="150" t="s">
        <v>19</v>
      </c>
      <c r="G45" s="166" t="s">
        <v>20</v>
      </c>
      <c r="H45" s="163" t="s">
        <v>8</v>
      </c>
      <c r="I45" s="164" t="s">
        <v>9</v>
      </c>
      <c r="J45" s="165" t="s">
        <v>18</v>
      </c>
      <c r="K45" s="4"/>
      <c r="L45" s="4"/>
      <c r="M45" s="4"/>
      <c r="N45" s="4"/>
      <c r="O45" s="4"/>
      <c r="P45" s="4"/>
      <c r="Q45" s="4"/>
      <c r="R45" s="4"/>
      <c r="S45" s="4"/>
      <c r="T45" s="4"/>
      <c r="U45" s="4"/>
      <c r="V45" s="4"/>
      <c r="W45" s="4"/>
      <c r="X45" s="4"/>
      <c r="Y45" s="4"/>
      <c r="Z45" s="4"/>
    </row>
    <row r="46" spans="1:26" ht="17.399999999999999" x14ac:dyDescent="0.3">
      <c r="A46" s="46" t="s">
        <v>46</v>
      </c>
      <c r="B46" s="162"/>
      <c r="C46" s="137" t="s">
        <v>28</v>
      </c>
      <c r="D46" s="138" t="s">
        <v>29</v>
      </c>
      <c r="E46" s="139" t="s">
        <v>30</v>
      </c>
      <c r="F46" s="131" t="s">
        <v>31</v>
      </c>
      <c r="G46" s="132"/>
      <c r="H46" s="127"/>
      <c r="I46" s="127"/>
      <c r="J46" s="128"/>
      <c r="K46" s="4"/>
      <c r="L46" s="4"/>
      <c r="M46" s="4"/>
      <c r="N46" s="4"/>
      <c r="O46" s="4"/>
      <c r="P46" s="4"/>
      <c r="Q46" s="4"/>
      <c r="R46" s="4"/>
      <c r="S46" s="4"/>
      <c r="T46" s="4"/>
      <c r="U46" s="4"/>
      <c r="V46" s="4"/>
      <c r="W46" s="4"/>
      <c r="X46" s="4"/>
      <c r="Y46" s="4"/>
      <c r="Z46" s="4"/>
    </row>
    <row r="47" spans="1:26" ht="17.399999999999999" x14ac:dyDescent="0.3">
      <c r="A47" s="46" t="s">
        <v>10</v>
      </c>
      <c r="B47" s="101"/>
      <c r="C47" s="140">
        <v>850</v>
      </c>
      <c r="D47" s="138">
        <v>500</v>
      </c>
      <c r="E47" s="139" t="s">
        <v>33</v>
      </c>
      <c r="F47" s="131"/>
      <c r="G47" s="133">
        <v>1000</v>
      </c>
      <c r="H47" s="127"/>
      <c r="I47" s="127"/>
      <c r="J47" s="128"/>
      <c r="K47" s="4"/>
      <c r="L47" s="4"/>
      <c r="M47" s="4"/>
      <c r="N47" s="4"/>
      <c r="O47" s="4"/>
      <c r="P47" s="4"/>
      <c r="Q47" s="4"/>
      <c r="R47" s="4"/>
      <c r="S47" s="4"/>
      <c r="T47" s="4"/>
      <c r="U47" s="4"/>
      <c r="V47" s="4"/>
      <c r="W47" s="4"/>
      <c r="X47" s="4"/>
      <c r="Y47" s="4"/>
      <c r="Z47" s="4"/>
    </row>
    <row r="48" spans="1:26" ht="17.399999999999999" x14ac:dyDescent="0.3">
      <c r="A48" s="46" t="s">
        <v>118</v>
      </c>
      <c r="B48" s="101"/>
      <c r="C48" s="137">
        <v>5</v>
      </c>
      <c r="D48" s="138">
        <v>3.5</v>
      </c>
      <c r="E48" s="139">
        <v>2</v>
      </c>
      <c r="F48" s="131"/>
      <c r="G48" s="132">
        <v>7</v>
      </c>
      <c r="H48" s="127"/>
      <c r="I48" s="127"/>
      <c r="J48" s="128"/>
      <c r="K48" s="4"/>
      <c r="L48" s="4"/>
      <c r="M48" s="4"/>
      <c r="N48" s="4"/>
      <c r="O48" s="4"/>
      <c r="P48" s="4"/>
      <c r="Q48" s="4"/>
      <c r="R48" s="4"/>
      <c r="S48" s="4"/>
      <c r="T48" s="4"/>
      <c r="U48" s="4"/>
      <c r="V48" s="4"/>
      <c r="W48" s="4"/>
      <c r="X48" s="4"/>
      <c r="Y48" s="4"/>
      <c r="Z48" s="4"/>
    </row>
    <row r="49" spans="1:26" ht="17.399999999999999" x14ac:dyDescent="0.3">
      <c r="A49" s="46" t="s">
        <v>12</v>
      </c>
      <c r="B49" s="162"/>
      <c r="C49" s="137" t="s">
        <v>34</v>
      </c>
      <c r="D49" s="138" t="s">
        <v>35</v>
      </c>
      <c r="E49" s="139" t="s">
        <v>36</v>
      </c>
      <c r="F49" s="131"/>
      <c r="G49" s="132" t="s">
        <v>35</v>
      </c>
      <c r="H49" s="127"/>
      <c r="I49" s="127"/>
      <c r="J49" s="128"/>
      <c r="K49" s="4"/>
      <c r="L49" s="4"/>
      <c r="M49" s="4"/>
      <c r="N49" s="4"/>
      <c r="O49" s="4"/>
      <c r="P49" s="4"/>
      <c r="Q49" s="4"/>
      <c r="R49" s="4"/>
      <c r="S49" s="4"/>
      <c r="T49" s="4"/>
      <c r="U49" s="4"/>
      <c r="V49" s="4"/>
      <c r="W49" s="4"/>
      <c r="X49" s="4"/>
      <c r="Y49" s="4"/>
      <c r="Z49" s="4"/>
    </row>
    <row r="50" spans="1:26" ht="17.399999999999999" x14ac:dyDescent="0.3">
      <c r="A50" s="46" t="s">
        <v>13</v>
      </c>
      <c r="B50" s="47"/>
      <c r="C50" s="137" t="s">
        <v>37</v>
      </c>
      <c r="D50" s="138" t="s">
        <v>38</v>
      </c>
      <c r="E50" s="139" t="s">
        <v>39</v>
      </c>
      <c r="F50" s="131" t="s">
        <v>40</v>
      </c>
      <c r="G50" s="134"/>
      <c r="H50" s="127"/>
      <c r="I50" s="127"/>
      <c r="J50" s="128"/>
      <c r="K50" s="4"/>
      <c r="L50" s="4"/>
      <c r="M50" s="4"/>
      <c r="N50" s="4"/>
      <c r="O50" s="4"/>
      <c r="P50" s="4"/>
      <c r="Q50" s="4"/>
      <c r="R50" s="4"/>
      <c r="S50" s="4"/>
      <c r="T50" s="4"/>
      <c r="U50" s="4"/>
      <c r="V50" s="4"/>
      <c r="W50" s="4"/>
      <c r="X50" s="4"/>
      <c r="Y50" s="4"/>
      <c r="Z50" s="4"/>
    </row>
    <row r="51" spans="1:26" ht="17.399999999999999" x14ac:dyDescent="0.3">
      <c r="A51" s="19" t="s">
        <v>14</v>
      </c>
      <c r="B51" s="47"/>
      <c r="C51" s="141">
        <v>1</v>
      </c>
      <c r="D51" s="142">
        <v>0.8</v>
      </c>
      <c r="E51" s="143">
        <v>0.99</v>
      </c>
      <c r="F51" s="131"/>
      <c r="G51" s="132"/>
      <c r="H51" s="127"/>
      <c r="I51" s="127"/>
      <c r="J51" s="128"/>
      <c r="K51" s="4"/>
      <c r="L51" s="4"/>
      <c r="M51" s="4"/>
      <c r="N51" s="4"/>
      <c r="O51" s="4"/>
      <c r="P51" s="4"/>
      <c r="Q51" s="4"/>
      <c r="R51" s="4"/>
      <c r="S51" s="4"/>
      <c r="T51" s="4"/>
      <c r="U51" s="4"/>
      <c r="V51" s="4"/>
      <c r="W51" s="4"/>
      <c r="X51" s="4"/>
      <c r="Y51" s="4"/>
      <c r="Z51" s="4"/>
    </row>
    <row r="52" spans="1:26" ht="17.399999999999999" x14ac:dyDescent="0.3">
      <c r="A52" s="46" t="s">
        <v>15</v>
      </c>
      <c r="B52" s="101"/>
      <c r="C52" s="137">
        <v>5</v>
      </c>
      <c r="D52" s="138">
        <v>3</v>
      </c>
      <c r="E52" s="139">
        <v>4</v>
      </c>
      <c r="F52" s="131"/>
      <c r="G52" s="132"/>
      <c r="H52" s="127"/>
      <c r="I52" s="127"/>
      <c r="J52" s="128"/>
      <c r="K52" s="4"/>
      <c r="L52" s="4"/>
      <c r="M52" s="4"/>
      <c r="N52" s="4"/>
      <c r="O52" s="4"/>
      <c r="P52" s="4"/>
      <c r="Q52" s="4"/>
      <c r="R52" s="4"/>
      <c r="S52" s="4"/>
      <c r="T52" s="4"/>
      <c r="U52" s="4"/>
      <c r="V52" s="4"/>
      <c r="W52" s="4"/>
      <c r="X52" s="4"/>
      <c r="Y52" s="4"/>
      <c r="Z52" s="4"/>
    </row>
    <row r="53" spans="1:26" ht="18" thickBot="1" x14ac:dyDescent="0.35">
      <c r="A53" s="19" t="s">
        <v>17</v>
      </c>
      <c r="B53" s="51"/>
      <c r="C53" s="144" t="s">
        <v>41</v>
      </c>
      <c r="D53" s="145" t="s">
        <v>42</v>
      </c>
      <c r="E53" s="146" t="s">
        <v>43</v>
      </c>
      <c r="F53" s="135" t="s">
        <v>42</v>
      </c>
      <c r="G53" s="136"/>
      <c r="H53" s="129"/>
      <c r="I53" s="129"/>
      <c r="J53" s="130"/>
      <c r="K53" s="4"/>
      <c r="L53" s="4"/>
      <c r="M53" s="4"/>
      <c r="N53" s="4"/>
      <c r="O53" s="4"/>
      <c r="P53" s="4"/>
      <c r="Q53" s="4"/>
      <c r="R53" s="4"/>
      <c r="S53" s="4"/>
      <c r="T53" s="4"/>
      <c r="U53" s="4"/>
      <c r="V53" s="4"/>
      <c r="W53" s="4"/>
      <c r="X53" s="4"/>
      <c r="Y53" s="4"/>
      <c r="Z53" s="4"/>
    </row>
    <row r="54" spans="1:26" ht="18" thickBot="1" x14ac:dyDescent="0.35">
      <c r="A54" s="10" t="s">
        <v>44</v>
      </c>
      <c r="B54" s="9"/>
      <c r="C54" s="6"/>
      <c r="D54" s="6"/>
      <c r="E54" s="20"/>
      <c r="F54" s="4"/>
      <c r="G54" s="9"/>
      <c r="H54" s="129"/>
      <c r="I54" s="129"/>
      <c r="J54" s="130"/>
      <c r="K54" s="4"/>
      <c r="L54" s="4"/>
      <c r="M54" s="4"/>
      <c r="N54" s="4"/>
      <c r="O54" s="4"/>
      <c r="P54" s="4"/>
      <c r="Q54" s="4"/>
      <c r="R54" s="4"/>
      <c r="S54" s="4"/>
      <c r="T54" s="4"/>
      <c r="U54" s="4"/>
      <c r="V54" s="4"/>
      <c r="W54" s="4"/>
      <c r="X54" s="4"/>
      <c r="Y54" s="4"/>
      <c r="Z54" s="4"/>
    </row>
    <row r="55" spans="1:26" ht="17.399999999999999" x14ac:dyDescent="0.3">
      <c r="A55" s="33"/>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spans="1:26" ht="37.950000000000003" customHeight="1" x14ac:dyDescent="0.3">
      <c r="A56" s="157" t="s">
        <v>107</v>
      </c>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spans="1:26" ht="17.399999999999999" x14ac:dyDescent="0.3">
      <c r="A57" s="1"/>
      <c r="B57" s="3"/>
      <c r="C57" s="4"/>
      <c r="D57" s="4"/>
      <c r="E57" s="4"/>
      <c r="F57" s="4"/>
      <c r="G57" s="4"/>
      <c r="H57" s="4"/>
      <c r="I57" s="4"/>
      <c r="J57" s="4"/>
      <c r="K57" s="4"/>
      <c r="L57" s="4"/>
      <c r="M57" s="4"/>
      <c r="N57" s="4"/>
      <c r="O57" s="4"/>
      <c r="P57" s="4"/>
      <c r="Q57" s="4"/>
      <c r="R57" s="4"/>
      <c r="S57" s="4"/>
      <c r="T57" s="4"/>
      <c r="U57" s="4"/>
      <c r="V57" s="4"/>
      <c r="W57" s="4"/>
      <c r="X57" s="4"/>
      <c r="Y57" s="4"/>
      <c r="Z57" s="4"/>
    </row>
    <row r="58" spans="1:26" ht="18" thickBot="1" x14ac:dyDescent="0.35">
      <c r="A58" s="1" t="s">
        <v>108</v>
      </c>
      <c r="B58" s="1"/>
      <c r="C58" s="3"/>
      <c r="D58" s="3"/>
      <c r="E58" s="3"/>
      <c r="F58" s="4"/>
      <c r="G58" s="4"/>
      <c r="H58" s="4"/>
      <c r="I58" s="4"/>
      <c r="J58" s="4"/>
      <c r="K58" s="4"/>
      <c r="L58" s="4"/>
      <c r="M58" s="4"/>
      <c r="N58" s="4"/>
      <c r="O58" s="4"/>
      <c r="P58" s="4"/>
      <c r="Q58" s="4"/>
      <c r="R58" s="4"/>
      <c r="S58" s="4"/>
      <c r="T58" s="4"/>
      <c r="U58" s="4"/>
      <c r="V58" s="4"/>
      <c r="W58" s="4"/>
      <c r="X58" s="4"/>
      <c r="Y58" s="4"/>
      <c r="Z58" s="4"/>
    </row>
    <row r="59" spans="1:26" ht="18.600000000000001" thickBot="1" x14ac:dyDescent="0.4">
      <c r="A59" s="4"/>
      <c r="B59" s="51"/>
      <c r="C59" s="86" t="s">
        <v>8</v>
      </c>
      <c r="D59" s="87" t="s">
        <v>9</v>
      </c>
      <c r="E59" s="88" t="s">
        <v>18</v>
      </c>
      <c r="F59" s="4"/>
      <c r="G59" s="4"/>
      <c r="H59" s="4"/>
      <c r="I59" s="4"/>
      <c r="J59" s="4"/>
      <c r="K59" s="4"/>
      <c r="L59" s="4"/>
      <c r="M59" s="4"/>
      <c r="N59" s="4"/>
      <c r="O59" s="4"/>
      <c r="P59" s="4"/>
      <c r="Q59" s="4"/>
      <c r="R59" s="4"/>
      <c r="S59" s="4"/>
      <c r="T59" s="4"/>
      <c r="U59" s="4"/>
      <c r="V59" s="4"/>
      <c r="W59" s="4"/>
      <c r="X59" s="4"/>
      <c r="Y59" s="4"/>
      <c r="Z59" s="4"/>
    </row>
    <row r="60" spans="1:26" ht="18" x14ac:dyDescent="0.35">
      <c r="A60" s="11" t="s">
        <v>46</v>
      </c>
      <c r="B60" s="101"/>
      <c r="C60" s="137" t="s">
        <v>28</v>
      </c>
      <c r="D60" s="138" t="s">
        <v>29</v>
      </c>
      <c r="E60" s="139" t="s">
        <v>30</v>
      </c>
      <c r="F60" s="4"/>
      <c r="G60" s="4"/>
      <c r="H60" s="4"/>
      <c r="I60" s="4"/>
      <c r="J60" s="4"/>
      <c r="K60" s="4"/>
      <c r="L60" s="4"/>
      <c r="M60" s="4"/>
      <c r="N60" s="4"/>
      <c r="O60" s="4"/>
      <c r="P60" s="4"/>
      <c r="Q60" s="4"/>
      <c r="R60" s="4"/>
      <c r="S60" s="4"/>
      <c r="T60" s="4"/>
      <c r="U60" s="4"/>
      <c r="V60" s="4"/>
      <c r="W60" s="4"/>
      <c r="X60" s="4"/>
      <c r="Y60" s="4"/>
      <c r="Z60" s="4"/>
    </row>
    <row r="61" spans="1:26" ht="17.399999999999999" x14ac:dyDescent="0.3">
      <c r="A61" s="4"/>
      <c r="B61" s="51"/>
      <c r="C61" s="49">
        <v>15</v>
      </c>
      <c r="D61" s="51">
        <v>10</v>
      </c>
      <c r="E61" s="57">
        <v>12</v>
      </c>
      <c r="F61" s="4" t="s">
        <v>47</v>
      </c>
      <c r="G61" s="4"/>
      <c r="H61" s="4"/>
      <c r="I61" s="4"/>
      <c r="J61" s="4"/>
      <c r="K61" s="4"/>
      <c r="L61" s="4"/>
      <c r="M61" s="4"/>
      <c r="N61" s="4"/>
      <c r="O61" s="4"/>
      <c r="P61" s="4"/>
      <c r="Q61" s="4"/>
      <c r="R61" s="4"/>
      <c r="S61" s="4"/>
      <c r="T61" s="4"/>
      <c r="U61" s="4"/>
      <c r="V61" s="4"/>
      <c r="W61" s="4"/>
      <c r="X61" s="4"/>
      <c r="Y61" s="4"/>
      <c r="Z61" s="4"/>
    </row>
    <row r="62" spans="1:26" ht="17.399999999999999" x14ac:dyDescent="0.3">
      <c r="A62" s="4"/>
      <c r="C62" s="49"/>
      <c r="D62" s="51"/>
      <c r="E62" s="57"/>
      <c r="F62" s="4"/>
      <c r="G62" s="99" t="s">
        <v>91</v>
      </c>
      <c r="H62" s="4"/>
      <c r="I62" s="103">
        <f>MAX(C61:E61)</f>
        <v>15</v>
      </c>
      <c r="J62" s="4"/>
      <c r="K62" s="4"/>
      <c r="L62" s="4"/>
      <c r="M62" s="4"/>
      <c r="N62" s="4"/>
      <c r="O62" s="4"/>
      <c r="P62" s="4"/>
      <c r="Q62" s="4"/>
      <c r="R62" s="4"/>
      <c r="S62" s="4"/>
      <c r="T62" s="4"/>
      <c r="U62" s="4"/>
      <c r="V62" s="4"/>
      <c r="W62" s="4"/>
      <c r="X62" s="4"/>
      <c r="Y62" s="4"/>
      <c r="Z62" s="4"/>
    </row>
    <row r="63" spans="1:26" ht="18" thickBot="1" x14ac:dyDescent="0.35">
      <c r="A63" s="10" t="s">
        <v>82</v>
      </c>
      <c r="B63" s="51"/>
      <c r="C63" s="67">
        <f>C61/I62</f>
        <v>1</v>
      </c>
      <c r="D63" s="83">
        <f>D61/I62</f>
        <v>0.66666666666666663</v>
      </c>
      <c r="E63" s="84">
        <f>E61/I62</f>
        <v>0.8</v>
      </c>
      <c r="F63" s="3" t="s">
        <v>48</v>
      </c>
      <c r="G63" s="4"/>
      <c r="H63" s="4"/>
      <c r="I63" s="4"/>
      <c r="J63" s="4"/>
      <c r="K63" s="4"/>
      <c r="L63" s="4"/>
      <c r="M63" s="4"/>
      <c r="N63" s="4"/>
      <c r="O63" s="4"/>
      <c r="P63" s="4"/>
      <c r="Q63" s="4"/>
      <c r="R63" s="4"/>
      <c r="S63" s="4"/>
      <c r="T63" s="4"/>
      <c r="U63" s="4"/>
      <c r="V63" s="4"/>
      <c r="W63" s="4"/>
      <c r="X63" s="4"/>
      <c r="Y63" s="4"/>
      <c r="Z63" s="4"/>
    </row>
    <row r="64" spans="1:26" ht="17.399999999999999"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7.399999999999999" x14ac:dyDescent="0.3">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spans="1:26" ht="17.399999999999999" x14ac:dyDescent="0.3">
      <c r="A66" s="35"/>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spans="1:26" ht="18" thickBot="1" x14ac:dyDescent="0.35">
      <c r="A67" s="1" t="s">
        <v>116</v>
      </c>
      <c r="B67" s="3"/>
      <c r="C67" s="3"/>
      <c r="D67" s="3"/>
      <c r="E67" s="3"/>
      <c r="F67" s="3"/>
      <c r="G67" s="3"/>
      <c r="H67" s="3"/>
      <c r="I67" s="4"/>
      <c r="J67" s="4"/>
      <c r="K67" s="4"/>
      <c r="L67" s="4"/>
      <c r="M67" s="4"/>
      <c r="N67" s="4"/>
      <c r="O67" s="4"/>
      <c r="P67" s="4"/>
      <c r="Q67" s="4"/>
      <c r="R67" s="4"/>
      <c r="S67" s="4"/>
      <c r="T67" s="4"/>
      <c r="U67" s="4"/>
      <c r="V67" s="4"/>
      <c r="W67" s="4"/>
      <c r="X67" s="4"/>
      <c r="Y67" s="4"/>
      <c r="Z67" s="4"/>
    </row>
    <row r="68" spans="1:26" ht="18.600000000000001" thickBot="1" x14ac:dyDescent="0.4">
      <c r="A68" s="10"/>
      <c r="B68" s="51"/>
      <c r="C68" s="86" t="s">
        <v>8</v>
      </c>
      <c r="D68" s="87" t="s">
        <v>9</v>
      </c>
      <c r="E68" s="88" t="s">
        <v>18</v>
      </c>
      <c r="F68" s="4"/>
      <c r="G68" s="4"/>
      <c r="H68" s="4"/>
      <c r="I68" s="4"/>
      <c r="J68" s="4"/>
      <c r="K68" s="4"/>
      <c r="L68" s="4"/>
      <c r="M68" s="4"/>
      <c r="N68" s="4"/>
      <c r="O68" s="4"/>
      <c r="P68" s="4"/>
      <c r="Q68" s="4"/>
      <c r="R68" s="4"/>
      <c r="S68" s="4"/>
      <c r="T68" s="4"/>
      <c r="U68" s="4"/>
      <c r="V68" s="4"/>
      <c r="W68" s="4"/>
      <c r="X68" s="4"/>
      <c r="Y68" s="4"/>
      <c r="Z68" s="4"/>
    </row>
    <row r="69" spans="1:26" ht="18" x14ac:dyDescent="0.35">
      <c r="A69" s="11" t="s">
        <v>10</v>
      </c>
      <c r="C69" s="96">
        <v>850</v>
      </c>
      <c r="D69" s="97">
        <v>500</v>
      </c>
      <c r="E69" s="53" t="s">
        <v>33</v>
      </c>
      <c r="F69" s="4"/>
      <c r="G69" s="4"/>
      <c r="H69" s="4"/>
      <c r="I69" s="4"/>
      <c r="J69" s="4"/>
      <c r="K69" s="4"/>
      <c r="L69" s="4"/>
      <c r="M69" s="4"/>
      <c r="N69" s="4"/>
      <c r="O69" s="4"/>
      <c r="P69" s="4"/>
      <c r="Q69" s="4"/>
      <c r="R69" s="4"/>
      <c r="S69" s="4"/>
      <c r="T69" s="4"/>
      <c r="U69" s="4"/>
      <c r="V69" s="4"/>
      <c r="W69" s="4"/>
      <c r="X69" s="4"/>
      <c r="Y69" s="4"/>
      <c r="Z69" s="4"/>
    </row>
    <row r="70" spans="1:26" ht="17.399999999999999" x14ac:dyDescent="0.3">
      <c r="C70" s="80">
        <v>850</v>
      </c>
      <c r="D70" s="70">
        <v>500</v>
      </c>
      <c r="E70" s="81">
        <v>600</v>
      </c>
      <c r="F70" s="3" t="s">
        <v>92</v>
      </c>
      <c r="G70" s="3"/>
      <c r="H70" s="4"/>
      <c r="I70" s="4"/>
      <c r="J70" s="4"/>
      <c r="K70" s="4"/>
      <c r="L70" s="4"/>
      <c r="M70" s="4"/>
      <c r="N70" s="4"/>
      <c r="O70" s="4"/>
      <c r="P70" s="4"/>
      <c r="Q70" s="4"/>
      <c r="R70" s="4"/>
      <c r="S70" s="4"/>
      <c r="T70" s="4"/>
      <c r="U70" s="4"/>
      <c r="V70" s="4"/>
      <c r="W70" s="4"/>
      <c r="X70" s="4"/>
      <c r="Y70" s="4"/>
      <c r="Z70" s="4"/>
    </row>
    <row r="71" spans="1:26" ht="17.399999999999999" x14ac:dyDescent="0.3">
      <c r="C71" s="100"/>
      <c r="D71" s="101"/>
      <c r="E71" s="102"/>
      <c r="G71" s="99" t="s">
        <v>91</v>
      </c>
      <c r="I71" s="99">
        <f>MAX(C70:E70)</f>
        <v>850</v>
      </c>
      <c r="J71" s="4"/>
      <c r="K71" s="4"/>
      <c r="L71" s="4"/>
      <c r="M71" s="4"/>
      <c r="N71" s="4"/>
      <c r="O71" s="4"/>
      <c r="P71" s="4"/>
      <c r="Q71" s="4"/>
      <c r="R71" s="4"/>
      <c r="S71" s="4"/>
      <c r="T71" s="4"/>
      <c r="U71" s="4"/>
      <c r="V71" s="4"/>
      <c r="W71" s="4"/>
      <c r="X71" s="4"/>
      <c r="Y71" s="4"/>
      <c r="Z71" s="4"/>
    </row>
    <row r="72" spans="1:26" ht="17.399999999999999" x14ac:dyDescent="0.3">
      <c r="C72" s="98">
        <f>C70/I71</f>
        <v>1</v>
      </c>
      <c r="D72" s="93">
        <f>D70/I71</f>
        <v>0.58823529411764708</v>
      </c>
      <c r="E72" s="94">
        <f>E70/I71</f>
        <v>0.70588235294117652</v>
      </c>
      <c r="F72" s="3" t="s">
        <v>93</v>
      </c>
      <c r="G72" s="4"/>
      <c r="H72" s="4"/>
      <c r="I72" s="4"/>
      <c r="J72" s="4"/>
      <c r="K72" s="4"/>
      <c r="L72" s="4"/>
      <c r="M72" s="4"/>
      <c r="N72" s="4"/>
      <c r="O72" s="4"/>
      <c r="P72" s="4"/>
      <c r="Q72" s="4"/>
      <c r="R72" s="4"/>
      <c r="S72" s="4"/>
      <c r="T72" s="4"/>
      <c r="U72" s="4"/>
      <c r="V72" s="4"/>
      <c r="W72" s="4"/>
      <c r="X72" s="4"/>
      <c r="Y72" s="4"/>
      <c r="Z72" s="4"/>
    </row>
    <row r="73" spans="1:26" ht="18" thickBot="1" x14ac:dyDescent="0.35">
      <c r="A73" s="10" t="s">
        <v>82</v>
      </c>
      <c r="C73" s="82">
        <f>1-C72</f>
        <v>0</v>
      </c>
      <c r="D73" s="83">
        <f>1-D72</f>
        <v>0.41176470588235292</v>
      </c>
      <c r="E73" s="84">
        <f>1-E72</f>
        <v>0.29411764705882348</v>
      </c>
      <c r="F73" s="3" t="s">
        <v>94</v>
      </c>
      <c r="G73" s="4"/>
      <c r="H73" s="4"/>
      <c r="I73" s="4"/>
      <c r="J73" s="4"/>
      <c r="K73" s="4"/>
      <c r="L73" s="4"/>
      <c r="M73" s="4"/>
      <c r="N73" s="4"/>
      <c r="O73" s="4"/>
      <c r="P73" s="4"/>
      <c r="Q73" s="4"/>
      <c r="R73" s="4"/>
      <c r="S73" s="4"/>
      <c r="T73" s="4"/>
      <c r="U73" s="4"/>
      <c r="V73" s="4"/>
      <c r="W73" s="4"/>
      <c r="X73" s="4"/>
      <c r="Y73" s="4"/>
      <c r="Z73" s="4"/>
    </row>
    <row r="74" spans="1:26" ht="17.399999999999999" x14ac:dyDescent="0.3">
      <c r="A74" s="34"/>
      <c r="B74" s="34"/>
      <c r="C74" s="34"/>
      <c r="D74" s="34"/>
      <c r="E74" s="38"/>
      <c r="G74" s="4"/>
      <c r="H74" s="34"/>
      <c r="I74" s="34"/>
      <c r="J74" s="34"/>
      <c r="K74" s="34"/>
      <c r="L74" s="34"/>
      <c r="M74" s="34"/>
      <c r="N74" s="34"/>
      <c r="O74" s="34"/>
      <c r="P74" s="34"/>
      <c r="Q74" s="34"/>
      <c r="R74" s="34"/>
      <c r="S74" s="34"/>
      <c r="T74" s="34"/>
      <c r="U74" s="34"/>
      <c r="V74" s="34"/>
      <c r="W74" s="34"/>
      <c r="X74" s="34"/>
      <c r="Y74" s="34"/>
      <c r="Z74" s="34"/>
    </row>
    <row r="75" spans="1:26" ht="17.399999999999999" x14ac:dyDescent="0.3">
      <c r="A75" s="35"/>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spans="1:26" ht="18" thickBot="1" x14ac:dyDescent="0.35">
      <c r="A76" s="1" t="s">
        <v>109</v>
      </c>
      <c r="B76" s="3"/>
      <c r="C76" s="3"/>
      <c r="D76" s="4"/>
      <c r="E76" s="4"/>
      <c r="F76" s="4"/>
      <c r="G76" s="4"/>
      <c r="H76" s="4"/>
      <c r="I76" s="4"/>
      <c r="J76" s="4"/>
      <c r="K76" s="4"/>
      <c r="L76" s="4"/>
      <c r="M76" s="4"/>
      <c r="N76" s="4"/>
      <c r="O76" s="4"/>
      <c r="P76" s="4"/>
      <c r="Q76" s="4"/>
      <c r="R76" s="4"/>
      <c r="S76" s="4"/>
      <c r="T76" s="4"/>
      <c r="U76" s="4"/>
      <c r="V76" s="4"/>
      <c r="W76" s="4"/>
      <c r="X76" s="4"/>
      <c r="Y76" s="4"/>
      <c r="Z76" s="4"/>
    </row>
    <row r="77" spans="1:26" ht="18.600000000000001" thickBot="1" x14ac:dyDescent="0.4">
      <c r="A77" s="10"/>
      <c r="B77" s="51"/>
      <c r="C77" s="86" t="s">
        <v>8</v>
      </c>
      <c r="D77" s="87" t="s">
        <v>9</v>
      </c>
      <c r="E77" s="88" t="s">
        <v>18</v>
      </c>
      <c r="F77" s="4"/>
      <c r="G77" s="4"/>
      <c r="H77" s="4"/>
      <c r="I77" s="4"/>
      <c r="J77" s="4"/>
      <c r="K77" s="4"/>
      <c r="L77" s="4"/>
      <c r="M77" s="4"/>
      <c r="N77" s="4"/>
      <c r="O77" s="4"/>
      <c r="P77" s="4"/>
      <c r="Q77" s="4"/>
      <c r="R77" s="4"/>
      <c r="S77" s="4"/>
      <c r="T77" s="4"/>
      <c r="U77" s="4"/>
      <c r="V77" s="4"/>
      <c r="W77" s="4"/>
      <c r="X77" s="4"/>
      <c r="Y77" s="4"/>
      <c r="Z77" s="4"/>
    </row>
    <row r="78" spans="1:26" ht="18" x14ac:dyDescent="0.35">
      <c r="A78" s="11" t="s">
        <v>118</v>
      </c>
      <c r="B78" s="101"/>
      <c r="C78" s="85">
        <v>5</v>
      </c>
      <c r="D78" s="52">
        <v>3.5</v>
      </c>
      <c r="E78" s="53">
        <v>2</v>
      </c>
      <c r="F78" s="4"/>
      <c r="G78" s="4"/>
      <c r="H78" s="4"/>
      <c r="I78" s="4"/>
      <c r="J78" s="4"/>
      <c r="K78" s="4"/>
      <c r="L78" s="4"/>
      <c r="M78" s="4"/>
      <c r="N78" s="4"/>
      <c r="O78" s="4"/>
      <c r="P78" s="4"/>
      <c r="Q78" s="4"/>
      <c r="R78" s="4"/>
      <c r="S78" s="4"/>
      <c r="T78" s="4"/>
      <c r="U78" s="4"/>
      <c r="V78" s="4"/>
      <c r="W78" s="4"/>
      <c r="X78" s="4"/>
      <c r="Y78" s="4"/>
      <c r="Z78" s="4"/>
    </row>
    <row r="79" spans="1:26" ht="17.399999999999999" x14ac:dyDescent="0.3">
      <c r="B79" s="51"/>
      <c r="C79" s="49"/>
      <c r="D79" s="51"/>
      <c r="E79" s="57"/>
      <c r="G79" s="3" t="s">
        <v>89</v>
      </c>
      <c r="H79" s="4"/>
      <c r="I79" s="99">
        <v>3</v>
      </c>
      <c r="J79" s="4"/>
      <c r="K79" s="4"/>
      <c r="L79" s="4"/>
      <c r="M79" s="4"/>
      <c r="N79" s="4"/>
      <c r="O79" s="4"/>
      <c r="P79" s="4"/>
      <c r="Q79" s="4"/>
      <c r="R79" s="4"/>
      <c r="S79" s="4"/>
      <c r="T79" s="4"/>
      <c r="U79" s="4"/>
      <c r="V79" s="4"/>
      <c r="W79" s="4"/>
      <c r="X79" s="4"/>
      <c r="Y79" s="4"/>
      <c r="Z79" s="4"/>
    </row>
    <row r="80" spans="1:26" ht="17.399999999999999" x14ac:dyDescent="0.3">
      <c r="B80" s="51"/>
      <c r="C80" s="49">
        <f>C78-$I$79</f>
        <v>2</v>
      </c>
      <c r="D80" s="51">
        <f t="shared" ref="D80:E80" si="0">D78-$I$79</f>
        <v>0.5</v>
      </c>
      <c r="E80" s="57">
        <f t="shared" si="0"/>
        <v>-1</v>
      </c>
      <c r="F80" s="3" t="s">
        <v>85</v>
      </c>
      <c r="G80" s="4"/>
      <c r="H80" s="4"/>
      <c r="I80" s="4"/>
      <c r="J80" s="4"/>
      <c r="K80" s="4"/>
      <c r="L80" s="4"/>
      <c r="M80" s="4"/>
      <c r="N80" s="4"/>
      <c r="O80" s="4"/>
      <c r="P80" s="4"/>
      <c r="Q80" s="4"/>
      <c r="R80" s="4"/>
      <c r="S80" s="4"/>
      <c r="T80" s="4"/>
      <c r="U80" s="4"/>
      <c r="V80" s="4"/>
      <c r="W80" s="4"/>
      <c r="X80" s="4"/>
      <c r="Y80" s="4"/>
      <c r="Z80" s="4"/>
    </row>
    <row r="81" spans="1:26" ht="17.399999999999999" x14ac:dyDescent="0.3">
      <c r="B81" s="51"/>
      <c r="C81" s="49"/>
      <c r="D81" s="51"/>
      <c r="E81" s="57"/>
      <c r="G81" s="3" t="s">
        <v>87</v>
      </c>
      <c r="H81" s="3"/>
      <c r="I81" s="4"/>
      <c r="J81" s="4"/>
      <c r="K81" s="4"/>
      <c r="L81" s="4"/>
      <c r="M81" s="4"/>
      <c r="N81" s="4"/>
      <c r="O81" s="4"/>
      <c r="P81" s="4"/>
      <c r="Q81" s="4"/>
      <c r="R81" s="4"/>
      <c r="S81" s="4"/>
      <c r="T81" s="4"/>
      <c r="U81" s="4"/>
      <c r="V81" s="4"/>
      <c r="W81" s="4"/>
      <c r="X81" s="4"/>
      <c r="Y81" s="4"/>
      <c r="Z81" s="4"/>
    </row>
    <row r="82" spans="1:26" ht="17.399999999999999" x14ac:dyDescent="0.3">
      <c r="B82" s="51"/>
      <c r="C82" s="49"/>
      <c r="D82" s="51"/>
      <c r="E82" s="57"/>
      <c r="G82" s="195" t="s">
        <v>90</v>
      </c>
      <c r="H82" s="51"/>
      <c r="I82" s="4"/>
      <c r="J82" s="4"/>
      <c r="K82" s="4"/>
      <c r="L82" s="4"/>
      <c r="M82" s="99">
        <v>4</v>
      </c>
      <c r="N82" s="4"/>
      <c r="O82" s="4"/>
      <c r="P82" s="4"/>
      <c r="Q82" s="4"/>
      <c r="R82" s="4"/>
      <c r="S82" s="4"/>
      <c r="T82" s="4"/>
      <c r="U82" s="4"/>
      <c r="V82" s="4"/>
      <c r="W82" s="4"/>
      <c r="X82" s="4"/>
      <c r="Y82" s="4"/>
      <c r="Z82" s="4"/>
    </row>
    <row r="83" spans="1:26" ht="17.399999999999999" x14ac:dyDescent="0.3">
      <c r="B83" s="51"/>
      <c r="C83" s="49">
        <f>C80/$M$82</f>
        <v>0.5</v>
      </c>
      <c r="D83" s="51">
        <f t="shared" ref="D83:E83" si="1">D80/$M$82</f>
        <v>0.125</v>
      </c>
      <c r="E83" s="57">
        <f t="shared" si="1"/>
        <v>-0.25</v>
      </c>
      <c r="F83" s="3" t="s">
        <v>86</v>
      </c>
      <c r="G83" s="4"/>
      <c r="H83" s="4"/>
      <c r="I83" s="4"/>
      <c r="J83" s="4"/>
      <c r="K83" s="4"/>
      <c r="L83" s="4"/>
      <c r="M83" s="4"/>
      <c r="N83" s="4"/>
      <c r="O83" s="4"/>
      <c r="P83" s="4"/>
      <c r="Q83" s="4"/>
      <c r="R83" s="4"/>
      <c r="S83" s="4"/>
      <c r="T83" s="4"/>
      <c r="U83" s="4"/>
      <c r="V83" s="4"/>
      <c r="W83" s="4"/>
      <c r="X83" s="4"/>
      <c r="Y83" s="4"/>
      <c r="Z83" s="4"/>
    </row>
    <row r="84" spans="1:26" ht="17.399999999999999" x14ac:dyDescent="0.3">
      <c r="B84" s="51"/>
      <c r="C84" s="49">
        <f>C83+0.5</f>
        <v>1</v>
      </c>
      <c r="D84" s="51">
        <f>D83+0.5</f>
        <v>0.625</v>
      </c>
      <c r="E84" s="94">
        <f>E83+0.5</f>
        <v>0.25</v>
      </c>
      <c r="F84" s="4" t="s">
        <v>84</v>
      </c>
      <c r="G84" s="4"/>
      <c r="H84" s="4"/>
      <c r="I84" s="4"/>
      <c r="J84" s="4"/>
      <c r="K84" s="4"/>
      <c r="L84" s="4"/>
      <c r="M84" s="4"/>
      <c r="N84" s="4"/>
      <c r="O84" s="4"/>
      <c r="P84" s="4"/>
      <c r="Q84" s="4"/>
      <c r="R84" s="4"/>
      <c r="S84" s="4"/>
      <c r="T84" s="4"/>
      <c r="U84" s="4"/>
      <c r="V84" s="4"/>
      <c r="W84" s="4"/>
      <c r="X84" s="4"/>
      <c r="Y84" s="4"/>
      <c r="Z84" s="4"/>
    </row>
    <row r="85" spans="1:26" ht="18" thickBot="1" x14ac:dyDescent="0.35">
      <c r="A85" s="10" t="s">
        <v>82</v>
      </c>
      <c r="B85" s="51"/>
      <c r="C85" s="67">
        <f>1-C84</f>
        <v>0</v>
      </c>
      <c r="D85" s="68">
        <f>1-D84</f>
        <v>0.375</v>
      </c>
      <c r="E85" s="95">
        <f>1-E84</f>
        <v>0.75</v>
      </c>
      <c r="F85" s="3" t="s">
        <v>88</v>
      </c>
      <c r="G85" s="4"/>
      <c r="H85" s="4"/>
      <c r="I85" s="4"/>
      <c r="J85" s="4"/>
      <c r="K85" s="4"/>
      <c r="L85" s="4"/>
      <c r="M85" s="4"/>
      <c r="N85" s="4"/>
      <c r="O85" s="4"/>
      <c r="P85" s="4"/>
      <c r="Q85" s="4"/>
      <c r="R85" s="4"/>
      <c r="S85" s="4"/>
      <c r="T85" s="4"/>
      <c r="U85" s="4"/>
      <c r="V85" s="4"/>
      <c r="W85" s="4"/>
      <c r="X85" s="4"/>
      <c r="Y85" s="4"/>
      <c r="Z85" s="4"/>
    </row>
    <row r="86" spans="1:26" ht="17.399999999999999" x14ac:dyDescent="0.3">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1:26" ht="17.399999999999999" x14ac:dyDescent="0.3">
      <c r="A87" s="35"/>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spans="1:26" ht="18" thickBot="1" x14ac:dyDescent="0.35">
      <c r="A88" s="1" t="s">
        <v>113</v>
      </c>
      <c r="B88" s="3"/>
      <c r="C88" s="3"/>
      <c r="D88" s="3"/>
      <c r="E88" s="3"/>
      <c r="F88" s="3"/>
      <c r="G88" s="3"/>
      <c r="H88" s="4"/>
      <c r="I88" s="4"/>
      <c r="J88" s="4"/>
      <c r="K88" s="4"/>
      <c r="L88" s="4"/>
      <c r="M88" s="4"/>
      <c r="N88" s="4"/>
      <c r="O88" s="4"/>
      <c r="P88" s="4"/>
      <c r="Q88" s="4"/>
      <c r="R88" s="4"/>
      <c r="S88" s="4"/>
      <c r="T88" s="4"/>
      <c r="U88" s="4"/>
      <c r="V88" s="4"/>
      <c r="W88" s="4"/>
      <c r="X88" s="4"/>
      <c r="Y88" s="4"/>
      <c r="Z88" s="4"/>
    </row>
    <row r="89" spans="1:26" ht="18.600000000000001" thickBot="1" x14ac:dyDescent="0.4">
      <c r="A89" s="10"/>
      <c r="B89" s="51"/>
      <c r="C89" s="86" t="s">
        <v>8</v>
      </c>
      <c r="D89" s="87" t="s">
        <v>9</v>
      </c>
      <c r="E89" s="88" t="s">
        <v>18</v>
      </c>
      <c r="F89" s="4"/>
      <c r="G89" s="4"/>
      <c r="H89" s="4"/>
      <c r="I89" s="4"/>
      <c r="J89" s="4"/>
      <c r="K89" s="4"/>
      <c r="L89" s="4"/>
      <c r="M89" s="4"/>
      <c r="N89" s="4"/>
      <c r="O89" s="4"/>
      <c r="P89" s="4"/>
      <c r="Q89" s="4"/>
      <c r="R89" s="4"/>
      <c r="S89" s="4"/>
      <c r="T89" s="4"/>
      <c r="U89" s="4"/>
      <c r="V89" s="4"/>
      <c r="W89" s="4"/>
      <c r="X89" s="4"/>
      <c r="Y89" s="4"/>
      <c r="Z89" s="4"/>
    </row>
    <row r="90" spans="1:26" ht="18.600000000000001" thickBot="1" x14ac:dyDescent="0.4">
      <c r="A90" s="11" t="s">
        <v>12</v>
      </c>
      <c r="B90" s="51"/>
      <c r="C90" s="85" t="s">
        <v>34</v>
      </c>
      <c r="D90" s="52" t="s">
        <v>35</v>
      </c>
      <c r="E90" s="53" t="s">
        <v>36</v>
      </c>
      <c r="F90" s="4"/>
      <c r="G90" s="4"/>
      <c r="H90" s="4"/>
      <c r="I90" s="4"/>
      <c r="J90" s="4"/>
      <c r="K90" s="4"/>
      <c r="L90" s="4"/>
      <c r="M90" s="4"/>
      <c r="N90" s="4"/>
      <c r="O90" s="4"/>
      <c r="P90" s="4"/>
      <c r="Q90" s="4"/>
      <c r="R90" s="4"/>
      <c r="S90" s="4"/>
      <c r="T90" s="4"/>
      <c r="U90" s="4"/>
      <c r="V90" s="4"/>
      <c r="W90" s="4"/>
      <c r="X90" s="4"/>
      <c r="Y90" s="4"/>
      <c r="Z90" s="4"/>
    </row>
    <row r="91" spans="1:26" ht="52.8" thickBot="1" x14ac:dyDescent="0.35">
      <c r="C91" s="100"/>
      <c r="D91" s="101"/>
      <c r="E91" s="102"/>
      <c r="F91" s="196"/>
      <c r="G91" s="197" t="s">
        <v>81</v>
      </c>
      <c r="H91" s="177" t="s">
        <v>80</v>
      </c>
      <c r="I91" s="52"/>
      <c r="J91" s="52"/>
      <c r="K91" s="53"/>
      <c r="L91" s="4"/>
      <c r="M91" s="4"/>
      <c r="N91" s="4"/>
      <c r="O91" s="4"/>
      <c r="P91" s="4"/>
      <c r="Q91" s="4"/>
      <c r="R91" s="4"/>
      <c r="S91" s="4"/>
      <c r="T91" s="4"/>
      <c r="U91" s="4"/>
      <c r="V91" s="4"/>
      <c r="W91" s="4"/>
      <c r="X91" s="4"/>
      <c r="Y91" s="4"/>
      <c r="Z91" s="4"/>
    </row>
    <row r="92" spans="1:26" ht="17.399999999999999" x14ac:dyDescent="0.3">
      <c r="C92" s="100"/>
      <c r="D92" s="101"/>
      <c r="E92" s="102"/>
      <c r="F92" s="31"/>
      <c r="G92" s="199">
        <v>1</v>
      </c>
      <c r="H92" s="85" t="s">
        <v>49</v>
      </c>
      <c r="I92" s="52"/>
      <c r="J92" s="52"/>
      <c r="K92" s="53"/>
      <c r="L92" s="4"/>
      <c r="M92" s="4"/>
      <c r="N92" s="4"/>
      <c r="O92" s="4"/>
      <c r="P92" s="4"/>
      <c r="Q92" s="4"/>
      <c r="R92" s="4"/>
      <c r="S92" s="4"/>
      <c r="T92" s="4"/>
      <c r="U92" s="4"/>
      <c r="V92" s="4"/>
      <c r="W92" s="4"/>
      <c r="X92" s="4"/>
      <c r="Y92" s="4"/>
      <c r="Z92" s="4"/>
    </row>
    <row r="93" spans="1:26" ht="17.399999999999999" x14ac:dyDescent="0.3">
      <c r="C93" s="100"/>
      <c r="D93" s="101"/>
      <c r="E93" s="102"/>
      <c r="F93" s="31"/>
      <c r="G93" s="80">
        <v>0.75</v>
      </c>
      <c r="H93" s="49" t="s">
        <v>50</v>
      </c>
      <c r="I93" s="51"/>
      <c r="J93" s="51"/>
      <c r="K93" s="57"/>
      <c r="L93" s="4"/>
      <c r="M93" s="4"/>
      <c r="N93" s="4"/>
      <c r="O93" s="4"/>
      <c r="P93" s="4"/>
      <c r="Q93" s="4"/>
      <c r="R93" s="4"/>
      <c r="S93" s="4"/>
      <c r="T93" s="4"/>
      <c r="U93" s="4"/>
      <c r="V93" s="4"/>
      <c r="W93" s="4"/>
      <c r="X93" s="4"/>
      <c r="Y93" s="4"/>
      <c r="Z93" s="4"/>
    </row>
    <row r="94" spans="1:26" ht="17.399999999999999" x14ac:dyDescent="0.3">
      <c r="C94" s="100"/>
      <c r="D94" s="101"/>
      <c r="E94" s="102"/>
      <c r="F94" s="31"/>
      <c r="G94" s="80">
        <v>0.5</v>
      </c>
      <c r="H94" s="49" t="s">
        <v>51</v>
      </c>
      <c r="I94" s="51"/>
      <c r="J94" s="51"/>
      <c r="K94" s="57"/>
      <c r="L94" s="4"/>
      <c r="M94" s="4"/>
      <c r="N94" s="4"/>
      <c r="O94" s="4"/>
      <c r="P94" s="4"/>
      <c r="Q94" s="4"/>
      <c r="R94" s="4"/>
      <c r="S94" s="4"/>
      <c r="T94" s="4"/>
      <c r="U94" s="4"/>
      <c r="V94" s="4"/>
      <c r="W94" s="4"/>
      <c r="X94" s="4"/>
      <c r="Y94" s="4"/>
      <c r="Z94" s="4"/>
    </row>
    <row r="95" spans="1:26" ht="17.399999999999999" x14ac:dyDescent="0.3">
      <c r="C95" s="100"/>
      <c r="D95" s="101"/>
      <c r="E95" s="102"/>
      <c r="F95" s="31"/>
      <c r="G95" s="80">
        <v>0.25</v>
      </c>
      <c r="H95" s="49" t="s">
        <v>52</v>
      </c>
      <c r="I95" s="51"/>
      <c r="J95" s="51"/>
      <c r="K95" s="57"/>
      <c r="L95" s="4"/>
      <c r="M95" s="4"/>
      <c r="N95" s="4"/>
      <c r="O95" s="4"/>
      <c r="P95" s="4"/>
      <c r="Q95" s="4"/>
      <c r="R95" s="4"/>
      <c r="S95" s="4"/>
      <c r="T95" s="4"/>
      <c r="U95" s="4"/>
      <c r="V95" s="4"/>
      <c r="W95" s="4"/>
      <c r="X95" s="4"/>
      <c r="Y95" s="4"/>
      <c r="Z95" s="4"/>
    </row>
    <row r="96" spans="1:26" ht="18" thickBot="1" x14ac:dyDescent="0.35">
      <c r="C96" s="100"/>
      <c r="D96" s="101"/>
      <c r="E96" s="102"/>
      <c r="F96" s="31"/>
      <c r="G96" s="198">
        <v>0</v>
      </c>
      <c r="H96" s="67" t="s">
        <v>53</v>
      </c>
      <c r="I96" s="68"/>
      <c r="J96" s="68"/>
      <c r="K96" s="69"/>
      <c r="L96" s="4"/>
      <c r="M96" s="4"/>
      <c r="N96" s="4"/>
      <c r="O96" s="4"/>
      <c r="P96" s="4"/>
      <c r="Q96" s="4"/>
      <c r="R96" s="4"/>
      <c r="S96" s="4"/>
      <c r="T96" s="4"/>
      <c r="U96" s="4"/>
      <c r="V96" s="4"/>
      <c r="W96" s="4"/>
      <c r="X96" s="4"/>
      <c r="Y96" s="4"/>
      <c r="Z96" s="4"/>
    </row>
    <row r="97" spans="1:26" ht="18" thickBot="1" x14ac:dyDescent="0.35">
      <c r="A97" s="10" t="s">
        <v>82</v>
      </c>
      <c r="B97" s="51"/>
      <c r="C97" s="67">
        <v>1</v>
      </c>
      <c r="D97" s="68">
        <v>0.25</v>
      </c>
      <c r="E97" s="69">
        <v>0.75</v>
      </c>
      <c r="F97" s="4"/>
      <c r="G97" s="4"/>
      <c r="H97" s="4"/>
      <c r="I97" s="4"/>
      <c r="J97" s="4"/>
      <c r="K97" s="4"/>
      <c r="L97" s="4"/>
      <c r="M97" s="4"/>
      <c r="N97" s="4"/>
      <c r="O97" s="4"/>
      <c r="P97" s="4"/>
      <c r="Q97" s="4"/>
      <c r="R97" s="4"/>
      <c r="S97" s="4"/>
      <c r="T97" s="4"/>
      <c r="U97" s="4"/>
      <c r="V97" s="4"/>
      <c r="W97" s="4"/>
      <c r="X97" s="4"/>
      <c r="Y97" s="4"/>
      <c r="Z97" s="4"/>
    </row>
    <row r="98" spans="1:26" ht="17.399999999999999" x14ac:dyDescent="0.3">
      <c r="A98" s="33"/>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spans="1:26" ht="17.399999999999999" x14ac:dyDescent="0.3">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spans="1:26" ht="18" thickBot="1" x14ac:dyDescent="0.35">
      <c r="A100" s="1" t="s">
        <v>110</v>
      </c>
      <c r="B100" s="3"/>
      <c r="C100" s="3"/>
      <c r="D100" s="3"/>
      <c r="E100" s="3"/>
      <c r="F100" s="3"/>
      <c r="G100" s="3"/>
      <c r="H100" s="4"/>
      <c r="I100" s="4"/>
      <c r="J100" s="4"/>
      <c r="K100" s="4"/>
      <c r="L100" s="4"/>
      <c r="M100" s="4"/>
      <c r="N100" s="4"/>
      <c r="O100" s="4"/>
      <c r="P100" s="4"/>
      <c r="Q100" s="4"/>
      <c r="R100" s="4"/>
      <c r="S100" s="4"/>
      <c r="T100" s="4"/>
      <c r="U100" s="4"/>
      <c r="V100" s="4"/>
      <c r="W100" s="4"/>
      <c r="X100" s="4"/>
      <c r="Y100" s="4"/>
      <c r="Z100" s="4"/>
    </row>
    <row r="101" spans="1:26" ht="18.600000000000001" thickBot="1" x14ac:dyDescent="0.4">
      <c r="A101" s="10"/>
      <c r="B101" s="51"/>
      <c r="C101" s="77" t="s">
        <v>8</v>
      </c>
      <c r="D101" s="78" t="s">
        <v>9</v>
      </c>
      <c r="E101" s="79" t="s">
        <v>18</v>
      </c>
      <c r="F101" s="4"/>
      <c r="G101" s="4"/>
      <c r="H101" s="4"/>
      <c r="I101" s="4"/>
      <c r="J101" s="4"/>
      <c r="K101" s="4"/>
      <c r="L101" s="4"/>
      <c r="M101" s="4"/>
      <c r="N101" s="4"/>
      <c r="O101" s="4"/>
      <c r="P101" s="4"/>
      <c r="Q101" s="4"/>
      <c r="R101" s="4"/>
      <c r="S101" s="4"/>
      <c r="T101" s="4"/>
      <c r="U101" s="4"/>
      <c r="V101" s="4"/>
      <c r="W101" s="4"/>
      <c r="X101" s="4"/>
      <c r="Y101" s="4"/>
      <c r="Z101" s="4"/>
    </row>
    <row r="102" spans="1:26" ht="18" x14ac:dyDescent="0.35">
      <c r="A102" s="11" t="s">
        <v>13</v>
      </c>
      <c r="B102" s="101"/>
      <c r="C102" s="85" t="s">
        <v>37</v>
      </c>
      <c r="D102" s="52" t="s">
        <v>38</v>
      </c>
      <c r="E102" s="53" t="s">
        <v>39</v>
      </c>
      <c r="F102" s="4"/>
      <c r="G102" s="4"/>
      <c r="H102" s="4"/>
      <c r="I102" s="4"/>
      <c r="J102" s="4"/>
      <c r="K102" s="4"/>
      <c r="L102" s="4"/>
      <c r="M102" s="4"/>
      <c r="N102" s="4"/>
      <c r="O102" s="4"/>
      <c r="P102" s="4"/>
      <c r="Q102" s="4"/>
      <c r="R102" s="4"/>
      <c r="S102" s="4"/>
      <c r="T102" s="4"/>
      <c r="U102" s="4"/>
      <c r="V102" s="4"/>
      <c r="W102" s="4"/>
      <c r="X102" s="4"/>
      <c r="Y102" s="4"/>
      <c r="Z102" s="4"/>
    </row>
    <row r="103" spans="1:26" ht="17.399999999999999" x14ac:dyDescent="0.3">
      <c r="A103" s="10"/>
      <c r="B103" s="51"/>
      <c r="C103" s="49"/>
      <c r="D103" s="51"/>
      <c r="E103" s="57"/>
      <c r="F103" s="4"/>
      <c r="G103" s="4"/>
      <c r="H103" s="4"/>
      <c r="I103" s="4"/>
      <c r="J103" s="4"/>
      <c r="K103" s="4"/>
      <c r="L103" s="4"/>
      <c r="M103" s="4"/>
      <c r="N103" s="4"/>
      <c r="O103" s="4"/>
      <c r="P103" s="4"/>
      <c r="Q103" s="4"/>
      <c r="R103" s="4"/>
      <c r="S103" s="4"/>
      <c r="T103" s="4"/>
      <c r="U103" s="4"/>
      <c r="V103" s="4"/>
      <c r="W103" s="4"/>
      <c r="X103" s="4"/>
      <c r="Y103" s="4"/>
      <c r="Z103" s="4"/>
    </row>
    <row r="104" spans="1:26" ht="17.399999999999999" x14ac:dyDescent="0.3">
      <c r="B104" s="51"/>
      <c r="C104" s="80">
        <v>2</v>
      </c>
      <c r="D104" s="70">
        <v>1.75</v>
      </c>
      <c r="E104" s="81">
        <v>1.28</v>
      </c>
      <c r="F104" s="4" t="s">
        <v>54</v>
      </c>
      <c r="H104" s="4"/>
      <c r="I104" s="4"/>
      <c r="J104" s="4"/>
      <c r="K104" s="4"/>
      <c r="L104" s="4"/>
      <c r="M104" s="4"/>
      <c r="N104" s="4"/>
      <c r="O104" s="4"/>
      <c r="P104" s="4"/>
      <c r="Q104" s="4"/>
      <c r="R104" s="4"/>
      <c r="S104" s="4"/>
      <c r="T104" s="4"/>
      <c r="U104" s="4"/>
      <c r="V104" s="4"/>
      <c r="W104" s="4"/>
      <c r="X104" s="4"/>
      <c r="Y104" s="4"/>
      <c r="Z104" s="4"/>
    </row>
    <row r="105" spans="1:26" ht="17.399999999999999" x14ac:dyDescent="0.3">
      <c r="B105" s="51"/>
      <c r="C105" s="49"/>
      <c r="D105" s="51"/>
      <c r="E105" s="57"/>
      <c r="F105" s="3"/>
      <c r="G105" s="46" t="s">
        <v>83</v>
      </c>
      <c r="I105" s="92">
        <f>SUM(C104:E104)</f>
        <v>5.03</v>
      </c>
      <c r="J105" s="4"/>
      <c r="K105" s="4"/>
      <c r="L105" s="4"/>
      <c r="M105" s="4"/>
      <c r="N105" s="4"/>
      <c r="O105" s="4"/>
      <c r="P105" s="4"/>
      <c r="Q105" s="4"/>
      <c r="R105" s="4"/>
      <c r="S105" s="4"/>
      <c r="T105" s="4"/>
      <c r="U105" s="4"/>
      <c r="V105" s="4"/>
      <c r="W105" s="4"/>
      <c r="X105" s="4"/>
      <c r="Y105" s="4"/>
      <c r="Z105" s="4"/>
    </row>
    <row r="106" spans="1:26" ht="18" thickBot="1" x14ac:dyDescent="0.35">
      <c r="A106" s="10" t="s">
        <v>82</v>
      </c>
      <c r="B106" s="51"/>
      <c r="C106" s="82">
        <f>C104/$I$105</f>
        <v>0.39761431411530812</v>
      </c>
      <c r="D106" s="83">
        <f>D104/$I$105</f>
        <v>0.34791252485089463</v>
      </c>
      <c r="E106" s="84">
        <f>E104/$I$105</f>
        <v>0.25447316103379719</v>
      </c>
      <c r="F106" s="3" t="s">
        <v>55</v>
      </c>
      <c r="H106" s="4"/>
      <c r="I106" s="4"/>
      <c r="J106" s="4"/>
      <c r="K106" s="4"/>
      <c r="L106" s="4"/>
      <c r="M106" s="4"/>
      <c r="N106" s="4"/>
      <c r="O106" s="4"/>
      <c r="P106" s="4"/>
      <c r="Q106" s="4"/>
      <c r="R106" s="4"/>
      <c r="S106" s="4"/>
      <c r="T106" s="4"/>
      <c r="U106" s="4"/>
      <c r="V106" s="4"/>
      <c r="W106" s="4"/>
      <c r="X106" s="4"/>
      <c r="Y106" s="4"/>
      <c r="Z106" s="4"/>
    </row>
    <row r="107" spans="1:26" ht="17.399999999999999" x14ac:dyDescent="0.3">
      <c r="A107" s="33"/>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ht="18" thickBot="1" x14ac:dyDescent="0.35">
      <c r="A108" s="35"/>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8" thickBot="1" x14ac:dyDescent="0.35">
      <c r="A109" s="4"/>
      <c r="B109" s="51"/>
      <c r="C109" s="360" t="s">
        <v>100</v>
      </c>
      <c r="D109" s="361"/>
      <c r="E109" s="362"/>
      <c r="F109" s="4"/>
      <c r="G109" s="51"/>
      <c r="H109" s="398" t="s">
        <v>101</v>
      </c>
      <c r="I109" s="399"/>
      <c r="J109" s="400"/>
      <c r="K109" s="4"/>
      <c r="L109" s="10"/>
      <c r="M109" s="4"/>
      <c r="N109" s="4"/>
      <c r="O109" s="10"/>
      <c r="P109" s="4"/>
      <c r="Q109" s="4"/>
      <c r="R109" s="4"/>
      <c r="S109" s="4"/>
      <c r="T109" s="4"/>
      <c r="U109" s="4"/>
      <c r="V109" s="4"/>
      <c r="W109" s="4"/>
      <c r="X109" s="4"/>
      <c r="Y109" s="4"/>
      <c r="Z109" s="4"/>
    </row>
    <row r="110" spans="1:26" ht="18.600000000000001" thickBot="1" x14ac:dyDescent="0.4">
      <c r="A110" s="10" t="s">
        <v>76</v>
      </c>
      <c r="B110" s="51"/>
      <c r="C110" s="54" t="s">
        <v>8</v>
      </c>
      <c r="D110" s="55" t="s">
        <v>9</v>
      </c>
      <c r="E110" s="56" t="s">
        <v>18</v>
      </c>
      <c r="F110" s="150" t="s">
        <v>19</v>
      </c>
      <c r="G110" s="166" t="s">
        <v>20</v>
      </c>
      <c r="H110" s="163" t="s">
        <v>8</v>
      </c>
      <c r="I110" s="164" t="s">
        <v>9</v>
      </c>
      <c r="J110" s="165" t="s">
        <v>18</v>
      </c>
      <c r="K110" s="10"/>
      <c r="L110" s="11"/>
      <c r="M110" s="11"/>
      <c r="N110" s="11"/>
      <c r="O110" s="4"/>
      <c r="P110" s="4"/>
      <c r="Q110" s="4"/>
      <c r="R110" s="4"/>
      <c r="S110" s="4"/>
      <c r="T110" s="4"/>
      <c r="U110" s="4"/>
      <c r="V110" s="4"/>
      <c r="W110" s="4"/>
      <c r="X110" s="4"/>
      <c r="Y110" s="4"/>
      <c r="Z110" s="4"/>
    </row>
    <row r="111" spans="1:26" ht="17.399999999999999" x14ac:dyDescent="0.3">
      <c r="A111" s="46" t="s">
        <v>27</v>
      </c>
      <c r="B111" s="162"/>
      <c r="C111" s="85">
        <v>15</v>
      </c>
      <c r="D111" s="52">
        <v>10</v>
      </c>
      <c r="E111" s="53">
        <v>12</v>
      </c>
      <c r="F111" s="201">
        <v>8</v>
      </c>
      <c r="G111" s="202"/>
      <c r="H111" s="110">
        <f>C63</f>
        <v>1</v>
      </c>
      <c r="I111" s="111">
        <f>D63</f>
        <v>0.66666666666666663</v>
      </c>
      <c r="J111" s="112">
        <f>E63</f>
        <v>0.8</v>
      </c>
      <c r="K111" s="1" t="s">
        <v>108</v>
      </c>
      <c r="L111" s="3"/>
      <c r="M111" s="3"/>
      <c r="N111" s="3"/>
      <c r="O111" s="3"/>
      <c r="P111" s="4"/>
      <c r="Q111" s="4"/>
      <c r="R111" s="4"/>
      <c r="S111" s="4"/>
      <c r="T111" s="4"/>
      <c r="U111" s="4"/>
      <c r="V111" s="4"/>
      <c r="W111" s="4"/>
      <c r="X111" s="4"/>
      <c r="Y111" s="4"/>
      <c r="Z111" s="4"/>
    </row>
    <row r="112" spans="1:26" ht="17.399999999999999" x14ac:dyDescent="0.3">
      <c r="A112" s="46" t="s">
        <v>56</v>
      </c>
      <c r="B112" s="101"/>
      <c r="C112" s="58">
        <v>850</v>
      </c>
      <c r="D112" s="59">
        <v>500</v>
      </c>
      <c r="E112" s="60">
        <v>600</v>
      </c>
      <c r="F112" s="201"/>
      <c r="G112" s="203">
        <v>1000</v>
      </c>
      <c r="H112" s="110">
        <f>C73</f>
        <v>0</v>
      </c>
      <c r="I112" s="111">
        <f>D73</f>
        <v>0.41176470588235292</v>
      </c>
      <c r="J112" s="112">
        <f>E73</f>
        <v>0.29411764705882348</v>
      </c>
      <c r="K112" s="1" t="s">
        <v>115</v>
      </c>
      <c r="L112" s="3"/>
      <c r="M112" s="3"/>
      <c r="N112" s="3"/>
      <c r="O112" s="3"/>
      <c r="P112" s="3"/>
      <c r="Q112" s="3"/>
      <c r="R112" s="3"/>
      <c r="S112" s="3"/>
      <c r="T112" s="4"/>
      <c r="U112" s="4"/>
      <c r="V112" s="4"/>
      <c r="W112" s="4"/>
      <c r="X112" s="4"/>
      <c r="Y112" s="4"/>
      <c r="Z112" s="4"/>
    </row>
    <row r="113" spans="1:26" ht="17.399999999999999" x14ac:dyDescent="0.3">
      <c r="A113" s="46" t="s">
        <v>118</v>
      </c>
      <c r="B113" s="101"/>
      <c r="C113" s="49">
        <v>5</v>
      </c>
      <c r="D113" s="51">
        <v>3.5</v>
      </c>
      <c r="E113" s="57">
        <v>2</v>
      </c>
      <c r="F113" s="201"/>
      <c r="G113" s="202">
        <v>7</v>
      </c>
      <c r="H113" s="110">
        <f>C85</f>
        <v>0</v>
      </c>
      <c r="I113" s="111">
        <f>D85</f>
        <v>0.375</v>
      </c>
      <c r="J113" s="112">
        <f>E85</f>
        <v>0.75</v>
      </c>
      <c r="K113" s="1" t="s">
        <v>109</v>
      </c>
      <c r="L113" s="3"/>
      <c r="M113" s="3"/>
      <c r="N113" s="4"/>
      <c r="O113" s="4"/>
      <c r="P113" s="4"/>
      <c r="Q113" s="4"/>
      <c r="R113" s="4"/>
      <c r="S113" s="4"/>
      <c r="T113" s="4"/>
      <c r="U113" s="4"/>
      <c r="V113" s="4"/>
      <c r="W113" s="4"/>
      <c r="X113" s="4"/>
      <c r="Y113" s="4"/>
      <c r="Z113" s="4"/>
    </row>
    <row r="114" spans="1:26" ht="17.399999999999999" x14ac:dyDescent="0.3">
      <c r="A114" s="46" t="s">
        <v>57</v>
      </c>
      <c r="B114" s="162"/>
      <c r="C114" s="61">
        <v>2</v>
      </c>
      <c r="D114" s="62">
        <v>1</v>
      </c>
      <c r="E114" s="63">
        <v>1.7</v>
      </c>
      <c r="F114" s="204"/>
      <c r="G114" s="205">
        <v>1</v>
      </c>
      <c r="H114" s="110">
        <f>C97</f>
        <v>1</v>
      </c>
      <c r="I114" s="111">
        <f>D97</f>
        <v>0.25</v>
      </c>
      <c r="J114" s="112">
        <f>E97</f>
        <v>0.75</v>
      </c>
      <c r="K114" s="1" t="s">
        <v>114</v>
      </c>
      <c r="L114" s="3"/>
      <c r="M114" s="3"/>
      <c r="N114" s="3"/>
      <c r="O114" s="3"/>
      <c r="P114" s="3"/>
      <c r="Q114" s="3"/>
      <c r="R114" s="3"/>
      <c r="S114" s="4"/>
      <c r="T114" s="4"/>
      <c r="U114" s="4"/>
      <c r="V114" s="4"/>
      <c r="W114" s="4"/>
      <c r="X114" s="4"/>
      <c r="Y114" s="4"/>
      <c r="Z114" s="4"/>
    </row>
    <row r="115" spans="1:26" ht="17.399999999999999" x14ac:dyDescent="0.3">
      <c r="A115" s="46" t="s">
        <v>58</v>
      </c>
      <c r="B115" s="47"/>
      <c r="C115" s="49">
        <v>2</v>
      </c>
      <c r="D115" s="51">
        <v>1.75</v>
      </c>
      <c r="E115" s="57">
        <v>1.28</v>
      </c>
      <c r="F115" s="201">
        <v>1</v>
      </c>
      <c r="G115" s="206"/>
      <c r="H115" s="110">
        <f>C106</f>
        <v>0.39761431411530812</v>
      </c>
      <c r="I115" s="111">
        <f>D106</f>
        <v>0.34791252485089463</v>
      </c>
      <c r="J115" s="112">
        <f>E106</f>
        <v>0.25447316103379719</v>
      </c>
      <c r="K115" s="1" t="s">
        <v>111</v>
      </c>
      <c r="L115" s="3"/>
      <c r="M115" s="3"/>
      <c r="N115" s="3"/>
      <c r="O115" s="3"/>
      <c r="P115" s="3"/>
      <c r="Q115" s="3"/>
      <c r="R115" s="3"/>
      <c r="S115" s="4"/>
      <c r="T115" s="4"/>
      <c r="U115" s="4"/>
      <c r="V115" s="4"/>
      <c r="W115" s="4"/>
      <c r="X115" s="4"/>
      <c r="Y115" s="4"/>
      <c r="Z115" s="4"/>
    </row>
    <row r="116" spans="1:26" ht="17.399999999999999" x14ac:dyDescent="0.3">
      <c r="A116" s="19" t="s">
        <v>59</v>
      </c>
      <c r="B116" s="47"/>
      <c r="C116" s="64">
        <v>100</v>
      </c>
      <c r="D116" s="65">
        <v>80</v>
      </c>
      <c r="E116" s="66">
        <v>99</v>
      </c>
      <c r="F116" s="201"/>
      <c r="G116" s="202"/>
      <c r="H116" s="110">
        <f t="shared" ref="H116:J116" si="2">C116/100</f>
        <v>1</v>
      </c>
      <c r="I116" s="111">
        <f t="shared" si="2"/>
        <v>0.8</v>
      </c>
      <c r="J116" s="112">
        <f t="shared" si="2"/>
        <v>0.99</v>
      </c>
      <c r="K116" s="3" t="s">
        <v>60</v>
      </c>
      <c r="L116" s="3"/>
      <c r="M116" s="3"/>
      <c r="N116" s="3"/>
      <c r="O116" s="4"/>
      <c r="P116" s="4"/>
      <c r="Q116" s="4"/>
      <c r="R116" s="4"/>
      <c r="S116" s="4"/>
      <c r="T116" s="4"/>
      <c r="U116" s="4"/>
      <c r="V116" s="4"/>
      <c r="W116" s="4"/>
      <c r="X116" s="4"/>
      <c r="Y116" s="4"/>
      <c r="Z116" s="4"/>
    </row>
    <row r="117" spans="1:26" ht="17.399999999999999" x14ac:dyDescent="0.3">
      <c r="A117" s="46" t="s">
        <v>61</v>
      </c>
      <c r="B117" s="101"/>
      <c r="C117" s="49">
        <v>5</v>
      </c>
      <c r="D117" s="51">
        <v>3</v>
      </c>
      <c r="E117" s="57">
        <v>4</v>
      </c>
      <c r="F117" s="201"/>
      <c r="G117" s="202"/>
      <c r="H117" s="110">
        <f t="shared" ref="H117:J117" si="3">C117/5</f>
        <v>1</v>
      </c>
      <c r="I117" s="111">
        <f t="shared" si="3"/>
        <v>0.6</v>
      </c>
      <c r="J117" s="112">
        <f t="shared" si="3"/>
        <v>0.8</v>
      </c>
      <c r="K117" s="3" t="s">
        <v>62</v>
      </c>
      <c r="L117" s="3"/>
      <c r="M117" s="3"/>
      <c r="N117" s="3"/>
      <c r="O117" s="3"/>
      <c r="P117" s="4"/>
      <c r="Q117" s="4"/>
      <c r="R117" s="4"/>
      <c r="S117" s="4"/>
      <c r="T117" s="4"/>
      <c r="U117" s="4"/>
      <c r="V117" s="4"/>
      <c r="W117" s="4"/>
      <c r="X117" s="4"/>
      <c r="Y117" s="4"/>
      <c r="Z117" s="4"/>
    </row>
    <row r="118" spans="1:26" ht="18" thickBot="1" x14ac:dyDescent="0.35">
      <c r="A118" s="19" t="s">
        <v>63</v>
      </c>
      <c r="B118" s="51"/>
      <c r="C118" s="67">
        <v>5</v>
      </c>
      <c r="D118" s="68" t="s">
        <v>42</v>
      </c>
      <c r="E118" s="69" t="s">
        <v>43</v>
      </c>
      <c r="F118" s="207" t="s">
        <v>42</v>
      </c>
      <c r="G118" s="208"/>
      <c r="H118" s="113">
        <v>1</v>
      </c>
      <c r="I118" s="114">
        <v>1</v>
      </c>
      <c r="J118" s="115">
        <v>0.5</v>
      </c>
      <c r="K118" s="3" t="s">
        <v>117</v>
      </c>
      <c r="L118" s="3"/>
      <c r="M118" s="3"/>
      <c r="N118" s="3"/>
      <c r="O118" s="3"/>
      <c r="P118" s="3"/>
      <c r="Q118" s="3"/>
      <c r="R118" s="3"/>
      <c r="S118" s="3"/>
      <c r="T118" s="3"/>
      <c r="U118" s="4"/>
      <c r="V118" s="4"/>
      <c r="W118" s="4"/>
      <c r="X118" s="4"/>
      <c r="Y118" s="4"/>
      <c r="Z118" s="4"/>
    </row>
    <row r="119" spans="1:26" ht="18" thickBot="1" x14ac:dyDescent="0.35">
      <c r="A119" s="10" t="s">
        <v>44</v>
      </c>
      <c r="B119" s="51"/>
      <c r="C119" s="52"/>
      <c r="D119" s="52"/>
      <c r="E119" s="52"/>
      <c r="F119" s="4"/>
      <c r="G119" s="9"/>
      <c r="H119" s="116">
        <f t="shared" ref="H119:J119" si="4">SUM(H111:H118)</f>
        <v>5.3976143141153079</v>
      </c>
      <c r="I119" s="116">
        <f t="shared" si="4"/>
        <v>4.451343897399914</v>
      </c>
      <c r="J119" s="117">
        <f t="shared" si="4"/>
        <v>5.138590808092621</v>
      </c>
      <c r="K119" s="4"/>
      <c r="L119" s="4"/>
      <c r="M119" s="4"/>
      <c r="N119" s="4"/>
      <c r="O119" s="4"/>
      <c r="P119" s="4"/>
      <c r="Q119" s="4"/>
      <c r="R119" s="4"/>
      <c r="S119" s="4"/>
      <c r="T119" s="4"/>
      <c r="U119" s="4"/>
      <c r="V119" s="4"/>
      <c r="W119" s="4"/>
      <c r="X119" s="4"/>
      <c r="Y119" s="4"/>
      <c r="Z119" s="4"/>
    </row>
    <row r="120" spans="1:26" ht="18" thickBot="1" x14ac:dyDescent="0.35">
      <c r="A120" s="22"/>
      <c r="B120" s="6"/>
      <c r="C120" s="6"/>
      <c r="D120" s="6"/>
      <c r="E120" s="6"/>
      <c r="F120" s="6"/>
      <c r="G120" s="6"/>
      <c r="H120" s="39"/>
      <c r="I120" s="39"/>
      <c r="J120" s="39"/>
      <c r="K120" s="6"/>
      <c r="L120" s="6"/>
      <c r="M120" s="6"/>
      <c r="N120" s="6"/>
      <c r="O120" s="6"/>
      <c r="P120" s="6"/>
      <c r="Q120" s="6"/>
      <c r="R120" s="6"/>
      <c r="S120" s="6"/>
      <c r="T120" s="6"/>
      <c r="U120" s="6"/>
      <c r="V120" s="6"/>
      <c r="W120" s="6"/>
      <c r="X120" s="6"/>
      <c r="Y120" s="6"/>
      <c r="Z120" s="6"/>
    </row>
    <row r="121" spans="1:26" ht="18" thickBot="1" x14ac:dyDescent="0.35">
      <c r="A121" s="23" t="s">
        <v>64</v>
      </c>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8" thickBot="1" x14ac:dyDescent="0.35">
      <c r="A122" s="10"/>
      <c r="B122" s="4"/>
      <c r="C122" s="51"/>
      <c r="D122" s="51"/>
      <c r="E122" s="51"/>
      <c r="F122" s="51"/>
      <c r="G122" s="51"/>
      <c r="H122" s="6"/>
      <c r="I122" s="6"/>
      <c r="J122" s="6"/>
      <c r="K122" s="170"/>
      <c r="L122" s="4"/>
      <c r="M122" s="4"/>
      <c r="N122" s="4"/>
      <c r="O122" s="4"/>
      <c r="P122" s="4"/>
      <c r="Q122" s="4"/>
      <c r="R122" s="4"/>
      <c r="S122" s="4"/>
      <c r="T122" s="4"/>
      <c r="U122" s="4"/>
      <c r="V122" s="4"/>
      <c r="W122" s="4"/>
      <c r="X122" s="4"/>
      <c r="Y122" s="4"/>
      <c r="Z122" s="4"/>
    </row>
    <row r="123" spans="1:26" ht="18" thickBot="1" x14ac:dyDescent="0.35">
      <c r="A123" s="4"/>
      <c r="B123" s="51"/>
      <c r="C123" s="360" t="s">
        <v>100</v>
      </c>
      <c r="D123" s="361"/>
      <c r="E123" s="362"/>
      <c r="F123" s="68"/>
      <c r="G123" s="68"/>
      <c r="H123" s="360" t="s">
        <v>101</v>
      </c>
      <c r="I123" s="361"/>
      <c r="J123" s="362"/>
      <c r="K123" s="4"/>
      <c r="L123" s="4"/>
      <c r="M123" s="4"/>
      <c r="N123" s="4"/>
      <c r="O123" s="4"/>
      <c r="P123" s="4"/>
      <c r="Q123" s="4"/>
      <c r="R123" s="4"/>
      <c r="S123" s="4"/>
      <c r="T123" s="4"/>
      <c r="U123" s="4"/>
      <c r="V123" s="4"/>
      <c r="W123" s="4"/>
      <c r="X123" s="4"/>
      <c r="Y123" s="4"/>
      <c r="Z123" s="4"/>
    </row>
    <row r="124" spans="1:26" ht="18.600000000000001" thickBot="1" x14ac:dyDescent="0.4">
      <c r="A124" s="10" t="s">
        <v>76</v>
      </c>
      <c r="B124" s="51"/>
      <c r="C124" s="54" t="s">
        <v>8</v>
      </c>
      <c r="D124" s="55" t="s">
        <v>9</v>
      </c>
      <c r="E124" s="56" t="s">
        <v>18</v>
      </c>
      <c r="F124" s="167" t="s">
        <v>19</v>
      </c>
      <c r="G124" s="168" t="s">
        <v>20</v>
      </c>
      <c r="H124" s="147" t="s">
        <v>8</v>
      </c>
      <c r="I124" s="148" t="s">
        <v>9</v>
      </c>
      <c r="J124" s="149" t="s">
        <v>18</v>
      </c>
      <c r="K124" s="169" t="s">
        <v>11</v>
      </c>
      <c r="L124" s="4"/>
      <c r="M124" s="4"/>
      <c r="N124" s="4"/>
      <c r="O124" s="4"/>
      <c r="P124" s="4"/>
      <c r="Q124" s="4"/>
      <c r="R124" s="4"/>
      <c r="S124" s="4"/>
      <c r="T124" s="4"/>
      <c r="U124" s="4"/>
      <c r="V124" s="4"/>
      <c r="W124" s="4"/>
      <c r="X124" s="4"/>
      <c r="Y124" s="4"/>
      <c r="Z124" s="4"/>
    </row>
    <row r="125" spans="1:26" ht="17.399999999999999" x14ac:dyDescent="0.3">
      <c r="A125" s="46" t="s">
        <v>27</v>
      </c>
      <c r="B125" s="162"/>
      <c r="C125" s="85">
        <v>15</v>
      </c>
      <c r="D125" s="52">
        <v>10</v>
      </c>
      <c r="E125" s="53">
        <v>12</v>
      </c>
      <c r="F125" s="201">
        <v>8</v>
      </c>
      <c r="G125" s="202"/>
      <c r="H125" s="106">
        <f t="shared" ref="H125:J125" si="5">H111</f>
        <v>1</v>
      </c>
      <c r="I125" s="106">
        <f t="shared" si="5"/>
        <v>0.66666666666666663</v>
      </c>
      <c r="J125" s="107">
        <f t="shared" si="5"/>
        <v>0.8</v>
      </c>
      <c r="K125" s="118"/>
      <c r="L125" s="4"/>
      <c r="M125" s="4"/>
      <c r="N125" s="4"/>
      <c r="O125" s="4"/>
      <c r="P125" s="4"/>
      <c r="Q125" s="4"/>
      <c r="R125" s="4"/>
      <c r="S125" s="4"/>
      <c r="T125" s="4"/>
      <c r="U125" s="4"/>
      <c r="V125" s="4"/>
      <c r="W125" s="4"/>
      <c r="X125" s="4"/>
      <c r="Y125" s="4"/>
      <c r="Z125" s="4"/>
    </row>
    <row r="126" spans="1:26" ht="17.399999999999999" x14ac:dyDescent="0.3">
      <c r="A126" s="46" t="s">
        <v>56</v>
      </c>
      <c r="B126" s="101"/>
      <c r="C126" s="58">
        <v>850</v>
      </c>
      <c r="D126" s="59">
        <v>500</v>
      </c>
      <c r="E126" s="60">
        <v>600</v>
      </c>
      <c r="F126" s="201"/>
      <c r="G126" s="203">
        <v>1000</v>
      </c>
      <c r="H126" s="106">
        <f t="shared" ref="H126:J126" si="6">H112</f>
        <v>0</v>
      </c>
      <c r="I126" s="106">
        <f t="shared" si="6"/>
        <v>0.41176470588235292</v>
      </c>
      <c r="J126" s="107">
        <f t="shared" si="6"/>
        <v>0.29411764705882348</v>
      </c>
      <c r="K126" s="118"/>
      <c r="L126" s="4"/>
      <c r="M126" s="4"/>
      <c r="N126" s="4"/>
      <c r="O126" s="4"/>
      <c r="P126" s="4"/>
      <c r="Q126" s="4"/>
      <c r="R126" s="4"/>
      <c r="S126" s="4"/>
      <c r="T126" s="4"/>
      <c r="U126" s="4"/>
      <c r="V126" s="4"/>
      <c r="W126" s="4"/>
      <c r="X126" s="4"/>
      <c r="Y126" s="4"/>
      <c r="Z126" s="4"/>
    </row>
    <row r="127" spans="1:26" ht="17.399999999999999" x14ac:dyDescent="0.3">
      <c r="A127" s="46" t="s">
        <v>118</v>
      </c>
      <c r="B127" s="101"/>
      <c r="C127" s="49">
        <v>5</v>
      </c>
      <c r="D127" s="51">
        <v>3.5</v>
      </c>
      <c r="E127" s="57">
        <v>2</v>
      </c>
      <c r="F127" s="201"/>
      <c r="G127" s="202">
        <v>7</v>
      </c>
      <c r="H127" s="106">
        <f t="shared" ref="H127:J127" si="7">H113</f>
        <v>0</v>
      </c>
      <c r="I127" s="106">
        <f t="shared" si="7"/>
        <v>0.375</v>
      </c>
      <c r="J127" s="107">
        <f t="shared" si="7"/>
        <v>0.75</v>
      </c>
      <c r="K127" s="118"/>
      <c r="L127" s="4"/>
      <c r="M127" s="4"/>
      <c r="N127" s="4"/>
      <c r="O127" s="4"/>
      <c r="P127" s="4"/>
      <c r="Q127" s="4"/>
      <c r="R127" s="4"/>
      <c r="S127" s="4"/>
      <c r="T127" s="4"/>
      <c r="U127" s="4"/>
      <c r="V127" s="4"/>
      <c r="W127" s="4"/>
      <c r="X127" s="4"/>
      <c r="Y127" s="4"/>
      <c r="Z127" s="4"/>
    </row>
    <row r="128" spans="1:26" ht="17.399999999999999" x14ac:dyDescent="0.3">
      <c r="A128" s="46" t="s">
        <v>57</v>
      </c>
      <c r="B128" s="162"/>
      <c r="C128" s="61">
        <v>2</v>
      </c>
      <c r="D128" s="62">
        <v>1</v>
      </c>
      <c r="E128" s="63">
        <v>1.7</v>
      </c>
      <c r="F128" s="204"/>
      <c r="G128" s="205">
        <v>1</v>
      </c>
      <c r="H128" s="106">
        <f t="shared" ref="H128:J128" si="8">H114</f>
        <v>1</v>
      </c>
      <c r="I128" s="106">
        <f t="shared" si="8"/>
        <v>0.25</v>
      </c>
      <c r="J128" s="107">
        <f t="shared" si="8"/>
        <v>0.75</v>
      </c>
      <c r="K128" s="118"/>
      <c r="L128" s="4"/>
      <c r="M128" s="4"/>
      <c r="N128" s="4"/>
      <c r="O128" s="4"/>
      <c r="P128" s="4"/>
      <c r="Q128" s="4"/>
      <c r="R128" s="4"/>
      <c r="S128" s="4"/>
      <c r="T128" s="4"/>
      <c r="U128" s="4"/>
      <c r="V128" s="4"/>
      <c r="W128" s="4"/>
      <c r="X128" s="4"/>
      <c r="Y128" s="4"/>
      <c r="Z128" s="4"/>
    </row>
    <row r="129" spans="1:26" ht="17.399999999999999" x14ac:dyDescent="0.3">
      <c r="A129" s="46" t="s">
        <v>58</v>
      </c>
      <c r="B129" s="47"/>
      <c r="C129" s="49">
        <v>2</v>
      </c>
      <c r="D129" s="51">
        <v>1.75</v>
      </c>
      <c r="E129" s="57">
        <v>1.28</v>
      </c>
      <c r="F129" s="201">
        <v>1</v>
      </c>
      <c r="G129" s="206"/>
      <c r="H129" s="106">
        <f t="shared" ref="H129:J129" si="9">H115</f>
        <v>0.39761431411530812</v>
      </c>
      <c r="I129" s="106">
        <f t="shared" si="9"/>
        <v>0.34791252485089463</v>
      </c>
      <c r="J129" s="107">
        <f t="shared" si="9"/>
        <v>0.25447316103379719</v>
      </c>
      <c r="K129" s="118"/>
      <c r="L129" s="4"/>
      <c r="M129" s="4"/>
      <c r="N129" s="4"/>
      <c r="O129" s="4"/>
      <c r="P129" s="4"/>
      <c r="Q129" s="4"/>
      <c r="R129" s="4"/>
      <c r="S129" s="4"/>
      <c r="T129" s="4"/>
      <c r="U129" s="4"/>
      <c r="V129" s="4"/>
      <c r="W129" s="4"/>
      <c r="X129" s="4"/>
      <c r="Y129" s="4"/>
      <c r="Z129" s="4"/>
    </row>
    <row r="130" spans="1:26" ht="17.399999999999999" x14ac:dyDescent="0.3">
      <c r="A130" s="19" t="s">
        <v>59</v>
      </c>
      <c r="B130" s="47"/>
      <c r="C130" s="64">
        <v>100</v>
      </c>
      <c r="D130" s="65">
        <v>80</v>
      </c>
      <c r="E130" s="66">
        <v>99</v>
      </c>
      <c r="F130" s="201"/>
      <c r="G130" s="202"/>
      <c r="H130" s="106">
        <f t="shared" ref="H130:J130" si="10">H116</f>
        <v>1</v>
      </c>
      <c r="I130" s="106">
        <f t="shared" si="10"/>
        <v>0.8</v>
      </c>
      <c r="J130" s="107">
        <f t="shared" si="10"/>
        <v>0.99</v>
      </c>
      <c r="K130" s="118"/>
      <c r="L130" s="4"/>
      <c r="M130" s="4"/>
      <c r="N130" s="4"/>
      <c r="O130" s="4"/>
      <c r="P130" s="4"/>
      <c r="Q130" s="4"/>
      <c r="R130" s="4"/>
      <c r="S130" s="4"/>
      <c r="T130" s="4"/>
      <c r="U130" s="4"/>
      <c r="V130" s="4"/>
      <c r="W130" s="4"/>
      <c r="X130" s="4"/>
      <c r="Y130" s="4"/>
      <c r="Z130" s="4"/>
    </row>
    <row r="131" spans="1:26" ht="17.399999999999999" x14ac:dyDescent="0.3">
      <c r="A131" s="46" t="s">
        <v>61</v>
      </c>
      <c r="B131" s="101"/>
      <c r="C131" s="49">
        <v>5</v>
      </c>
      <c r="D131" s="51">
        <v>3</v>
      </c>
      <c r="E131" s="57">
        <v>4</v>
      </c>
      <c r="F131" s="201"/>
      <c r="G131" s="202"/>
      <c r="H131" s="106">
        <f t="shared" ref="H131:J131" si="11">H117</f>
        <v>1</v>
      </c>
      <c r="I131" s="106">
        <f t="shared" si="11"/>
        <v>0.6</v>
      </c>
      <c r="J131" s="107">
        <f t="shared" si="11"/>
        <v>0.8</v>
      </c>
      <c r="K131" s="118"/>
      <c r="L131" s="4"/>
      <c r="M131" s="4"/>
      <c r="N131" s="4"/>
      <c r="O131" s="4"/>
      <c r="P131" s="4"/>
      <c r="Q131" s="4"/>
      <c r="R131" s="4"/>
      <c r="S131" s="4"/>
      <c r="T131" s="4"/>
      <c r="U131" s="4"/>
      <c r="V131" s="4"/>
      <c r="W131" s="4"/>
      <c r="X131" s="4"/>
      <c r="Y131" s="4"/>
      <c r="Z131" s="4"/>
    </row>
    <row r="132" spans="1:26" ht="18" thickBot="1" x14ac:dyDescent="0.35">
      <c r="A132" s="19" t="s">
        <v>63</v>
      </c>
      <c r="B132" s="51"/>
      <c r="C132" s="67">
        <v>5</v>
      </c>
      <c r="D132" s="68" t="s">
        <v>42</v>
      </c>
      <c r="E132" s="69" t="s">
        <v>43</v>
      </c>
      <c r="F132" s="207" t="s">
        <v>42</v>
      </c>
      <c r="G132" s="208"/>
      <c r="H132" s="108">
        <f t="shared" ref="H132:J132" si="12">H118</f>
        <v>1</v>
      </c>
      <c r="I132" s="108">
        <f t="shared" si="12"/>
        <v>1</v>
      </c>
      <c r="J132" s="109">
        <f t="shared" si="12"/>
        <v>0.5</v>
      </c>
      <c r="K132" s="119"/>
      <c r="L132" s="4"/>
      <c r="M132" s="4"/>
      <c r="N132" s="4"/>
      <c r="O132" s="4"/>
      <c r="P132" s="4"/>
      <c r="Q132" s="4"/>
      <c r="R132" s="4"/>
      <c r="S132" s="4"/>
      <c r="T132" s="4"/>
      <c r="U132" s="4"/>
      <c r="V132" s="4"/>
      <c r="W132" s="4"/>
      <c r="X132" s="4"/>
      <c r="Y132" s="4"/>
      <c r="Z132" s="4"/>
    </row>
    <row r="133" spans="1:26" ht="18" thickBot="1" x14ac:dyDescent="0.35">
      <c r="A133" s="10" t="s">
        <v>44</v>
      </c>
      <c r="B133" s="51"/>
      <c r="C133" s="52"/>
      <c r="D133" s="52"/>
      <c r="E133" s="52"/>
      <c r="F133" s="4"/>
      <c r="G133" s="9"/>
      <c r="H133" s="104">
        <f t="shared" ref="H133:J133" si="13">H119</f>
        <v>5.3976143141153079</v>
      </c>
      <c r="I133" s="104">
        <f t="shared" si="13"/>
        <v>4.451343897399914</v>
      </c>
      <c r="J133" s="105">
        <f t="shared" si="13"/>
        <v>5.138590808092621</v>
      </c>
      <c r="K133" s="4"/>
      <c r="L133" s="4"/>
      <c r="M133" s="4"/>
      <c r="N133" s="4"/>
      <c r="O133" s="4"/>
      <c r="P133" s="4"/>
      <c r="Q133" s="4"/>
      <c r="R133" s="4"/>
      <c r="S133" s="4"/>
      <c r="T133" s="4"/>
      <c r="U133" s="4"/>
      <c r="V133" s="4"/>
      <c r="W133" s="4"/>
      <c r="X133" s="4"/>
      <c r="Y133" s="4"/>
      <c r="Z133" s="4"/>
    </row>
    <row r="134" spans="1:26" ht="17.399999999999999" x14ac:dyDescent="0.3">
      <c r="A134" s="33"/>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ht="36" customHeight="1" x14ac:dyDescent="0.3">
      <c r="A135" s="157" t="s">
        <v>65</v>
      </c>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7.399999999999999" x14ac:dyDescent="0.3">
      <c r="A136" s="10"/>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8" thickBot="1" x14ac:dyDescent="0.35">
      <c r="A137" s="1" t="s">
        <v>77</v>
      </c>
      <c r="B137" s="3"/>
      <c r="C137" s="51"/>
      <c r="D137" s="3"/>
      <c r="E137" s="3"/>
      <c r="F137" s="3"/>
      <c r="G137" s="3"/>
      <c r="H137" s="3"/>
      <c r="I137" s="3"/>
      <c r="J137" s="3"/>
      <c r="K137" s="3"/>
      <c r="L137" s="3"/>
      <c r="M137" s="3"/>
      <c r="N137" s="4"/>
      <c r="O137" s="4"/>
      <c r="P137" s="4"/>
      <c r="Q137" s="4"/>
      <c r="R137" s="4"/>
      <c r="S137" s="4"/>
      <c r="T137" s="4"/>
      <c r="U137" s="4"/>
      <c r="V137" s="4"/>
      <c r="W137" s="4"/>
      <c r="X137" s="4"/>
      <c r="Y137" s="4"/>
      <c r="Z137" s="4"/>
    </row>
    <row r="138" spans="1:26" ht="18" thickBot="1" x14ac:dyDescent="0.35">
      <c r="A138" s="10"/>
      <c r="B138" s="51"/>
      <c r="C138" s="152" t="s">
        <v>11</v>
      </c>
      <c r="D138" s="4"/>
      <c r="E138" s="4"/>
      <c r="F138" s="4"/>
      <c r="G138" s="4"/>
      <c r="H138" s="4"/>
      <c r="I138" s="4"/>
      <c r="J138" s="4"/>
      <c r="K138" s="4"/>
      <c r="L138" s="4"/>
      <c r="M138" s="4"/>
      <c r="N138" s="4"/>
      <c r="O138" s="4"/>
      <c r="P138" s="4"/>
      <c r="Q138" s="4"/>
      <c r="R138" s="4"/>
      <c r="S138" s="4"/>
      <c r="T138" s="4"/>
      <c r="U138" s="4"/>
      <c r="V138" s="4"/>
      <c r="W138" s="4"/>
      <c r="X138" s="4"/>
      <c r="Y138" s="4"/>
      <c r="Z138" s="4"/>
    </row>
    <row r="139" spans="1:26" ht="17.399999999999999" x14ac:dyDescent="0.3">
      <c r="A139" s="46" t="s">
        <v>79</v>
      </c>
      <c r="B139" s="162"/>
      <c r="C139" s="75">
        <v>5</v>
      </c>
      <c r="D139" s="4"/>
      <c r="E139" s="4"/>
      <c r="F139" s="4"/>
      <c r="G139" s="4"/>
      <c r="H139" s="4"/>
      <c r="I139" s="4"/>
      <c r="J139" s="4"/>
      <c r="K139" s="4"/>
      <c r="L139" s="4"/>
      <c r="M139" s="4"/>
      <c r="N139" s="4"/>
      <c r="O139" s="4"/>
      <c r="P139" s="4"/>
      <c r="Q139" s="4"/>
      <c r="R139" s="4"/>
      <c r="S139" s="4"/>
      <c r="T139" s="4"/>
      <c r="U139" s="4"/>
      <c r="V139" s="4"/>
      <c r="W139" s="4"/>
      <c r="X139" s="4"/>
      <c r="Y139" s="4"/>
      <c r="Z139" s="4"/>
    </row>
    <row r="140" spans="1:26" ht="17.399999999999999" x14ac:dyDescent="0.3">
      <c r="A140" s="46" t="s">
        <v>10</v>
      </c>
      <c r="B140" s="101"/>
      <c r="C140" s="75">
        <v>5</v>
      </c>
      <c r="D140" s="4"/>
      <c r="E140" s="4"/>
      <c r="F140" s="4"/>
      <c r="G140" s="4"/>
      <c r="H140" s="4"/>
      <c r="I140" s="4"/>
      <c r="J140" s="4"/>
      <c r="K140" s="4"/>
      <c r="L140" s="4"/>
      <c r="M140" s="4"/>
      <c r="N140" s="4"/>
      <c r="O140" s="4"/>
      <c r="P140" s="4"/>
      <c r="Q140" s="4"/>
      <c r="R140" s="4"/>
      <c r="S140" s="4"/>
      <c r="T140" s="4"/>
      <c r="U140" s="4"/>
      <c r="V140" s="4"/>
      <c r="W140" s="4"/>
      <c r="X140" s="4"/>
      <c r="Y140" s="4"/>
      <c r="Z140" s="4"/>
    </row>
    <row r="141" spans="1:26" ht="17.399999999999999" x14ac:dyDescent="0.3">
      <c r="A141" s="46" t="s">
        <v>11</v>
      </c>
      <c r="B141" s="101"/>
      <c r="C141" s="75">
        <v>3</v>
      </c>
      <c r="D141" s="4"/>
      <c r="E141" s="4"/>
      <c r="F141" s="4"/>
      <c r="G141" s="4"/>
      <c r="H141" s="4"/>
      <c r="I141" s="4"/>
      <c r="J141" s="4"/>
      <c r="K141" s="4"/>
      <c r="L141" s="4"/>
      <c r="M141" s="4"/>
      <c r="N141" s="4"/>
      <c r="O141" s="4"/>
      <c r="P141" s="4"/>
      <c r="Q141" s="4"/>
      <c r="R141" s="4"/>
      <c r="S141" s="4"/>
      <c r="T141" s="4"/>
      <c r="U141" s="4"/>
      <c r="V141" s="4"/>
      <c r="W141" s="4"/>
      <c r="X141" s="4"/>
      <c r="Y141" s="4"/>
      <c r="Z141" s="4"/>
    </row>
    <row r="142" spans="1:26" ht="17.399999999999999" x14ac:dyDescent="0.3">
      <c r="A142" s="46" t="s">
        <v>12</v>
      </c>
      <c r="B142" s="162"/>
      <c r="C142" s="75">
        <v>3</v>
      </c>
      <c r="D142" s="4"/>
      <c r="E142" s="4"/>
      <c r="F142" s="4"/>
      <c r="G142" s="4"/>
      <c r="H142" s="4"/>
      <c r="I142" s="4"/>
      <c r="J142" s="4"/>
      <c r="K142" s="4"/>
      <c r="L142" s="4"/>
      <c r="M142" s="4"/>
      <c r="N142" s="4"/>
      <c r="O142" s="4"/>
      <c r="P142" s="4"/>
      <c r="Q142" s="4"/>
      <c r="R142" s="4"/>
      <c r="S142" s="4"/>
      <c r="T142" s="4"/>
      <c r="U142" s="4"/>
      <c r="V142" s="4"/>
      <c r="W142" s="4"/>
      <c r="X142" s="4"/>
      <c r="Y142" s="4"/>
      <c r="Z142" s="4"/>
    </row>
    <row r="143" spans="1:26" ht="17.399999999999999" x14ac:dyDescent="0.3">
      <c r="A143" s="46" t="s">
        <v>13</v>
      </c>
      <c r="B143" s="47"/>
      <c r="C143" s="75">
        <v>5</v>
      </c>
      <c r="D143" s="4"/>
      <c r="E143" s="4"/>
      <c r="F143" s="4"/>
      <c r="G143" s="4"/>
      <c r="H143" s="4"/>
      <c r="I143" s="4"/>
      <c r="J143" s="4"/>
      <c r="K143" s="4"/>
      <c r="L143" s="4"/>
      <c r="M143" s="4"/>
      <c r="N143" s="4"/>
      <c r="O143" s="4"/>
      <c r="P143" s="4"/>
      <c r="Q143" s="4"/>
      <c r="R143" s="4"/>
      <c r="S143" s="4"/>
      <c r="T143" s="4"/>
      <c r="U143" s="4"/>
      <c r="V143" s="4"/>
      <c r="W143" s="4"/>
      <c r="X143" s="4"/>
      <c r="Y143" s="4"/>
      <c r="Z143" s="4"/>
    </row>
    <row r="144" spans="1:26" ht="17.399999999999999" x14ac:dyDescent="0.3">
      <c r="A144" s="19" t="s">
        <v>14</v>
      </c>
      <c r="B144" s="47"/>
      <c r="C144" s="75">
        <v>3</v>
      </c>
      <c r="D144" s="4"/>
      <c r="E144" s="4"/>
      <c r="F144" s="4"/>
      <c r="G144" s="4"/>
      <c r="H144" s="4"/>
      <c r="I144" s="4"/>
      <c r="J144" s="4"/>
      <c r="K144" s="4"/>
      <c r="L144" s="4"/>
      <c r="M144" s="4"/>
      <c r="N144" s="4"/>
      <c r="O144" s="4"/>
      <c r="P144" s="4"/>
      <c r="Q144" s="4"/>
      <c r="R144" s="4"/>
      <c r="S144" s="4"/>
      <c r="T144" s="4"/>
      <c r="U144" s="4"/>
      <c r="V144" s="4"/>
      <c r="W144" s="4"/>
      <c r="X144" s="4"/>
      <c r="Y144" s="4"/>
      <c r="Z144" s="4"/>
    </row>
    <row r="145" spans="1:26" ht="17.399999999999999" x14ac:dyDescent="0.3">
      <c r="A145" s="46" t="s">
        <v>15</v>
      </c>
      <c r="B145" s="101"/>
      <c r="C145" s="75">
        <v>4</v>
      </c>
      <c r="D145" s="4"/>
      <c r="E145" s="4"/>
      <c r="F145" s="4"/>
      <c r="G145" s="4"/>
      <c r="H145" s="4"/>
      <c r="I145" s="4"/>
      <c r="J145" s="4"/>
      <c r="K145" s="4"/>
      <c r="L145" s="4"/>
      <c r="M145" s="4"/>
      <c r="N145" s="4"/>
      <c r="O145" s="4"/>
      <c r="P145" s="4"/>
      <c r="Q145" s="4"/>
      <c r="R145" s="4"/>
      <c r="S145" s="4"/>
      <c r="T145" s="4"/>
      <c r="U145" s="4"/>
      <c r="V145" s="4"/>
      <c r="W145" s="4"/>
      <c r="X145" s="4"/>
      <c r="Y145" s="4"/>
      <c r="Z145" s="4"/>
    </row>
    <row r="146" spans="1:26" ht="18" thickBot="1" x14ac:dyDescent="0.35">
      <c r="A146" s="19" t="s">
        <v>17</v>
      </c>
      <c r="B146" s="51"/>
      <c r="C146" s="76">
        <v>3</v>
      </c>
      <c r="D146" s="4"/>
      <c r="E146" s="4"/>
      <c r="F146" s="4"/>
      <c r="G146" s="4"/>
      <c r="H146" s="4"/>
      <c r="I146" s="4"/>
      <c r="J146" s="4"/>
      <c r="K146" s="4"/>
      <c r="L146" s="4"/>
      <c r="M146" s="4"/>
      <c r="N146" s="4"/>
      <c r="O146" s="4"/>
      <c r="P146" s="4"/>
      <c r="Q146" s="4"/>
      <c r="R146" s="4"/>
      <c r="S146" s="4"/>
      <c r="T146" s="4"/>
      <c r="U146" s="4"/>
      <c r="V146" s="4"/>
      <c r="W146" s="4"/>
      <c r="X146" s="4"/>
      <c r="Y146" s="4"/>
      <c r="Z146" s="4"/>
    </row>
    <row r="147" spans="1:26" ht="17.399999999999999" x14ac:dyDescent="0.3">
      <c r="A147" s="33"/>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ht="17.399999999999999" x14ac:dyDescent="0.3">
      <c r="A148" s="35"/>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8" thickBot="1" x14ac:dyDescent="0.35">
      <c r="A149" s="1" t="s">
        <v>78</v>
      </c>
      <c r="B149" s="3"/>
      <c r="C149" s="51"/>
      <c r="D149" s="3"/>
      <c r="E149" s="3"/>
      <c r="F149" s="3"/>
      <c r="G149" s="3"/>
      <c r="H149" s="4"/>
      <c r="I149" s="4"/>
      <c r="J149" s="4"/>
      <c r="K149" s="4"/>
      <c r="L149" s="4"/>
      <c r="M149" s="4"/>
      <c r="N149" s="4"/>
      <c r="O149" s="4"/>
      <c r="P149" s="4"/>
      <c r="Q149" s="4"/>
      <c r="R149" s="4"/>
      <c r="S149" s="4"/>
      <c r="T149" s="4"/>
      <c r="U149" s="4"/>
      <c r="V149" s="4"/>
      <c r="W149" s="4"/>
      <c r="X149" s="4"/>
      <c r="Y149" s="4"/>
      <c r="Z149" s="4"/>
    </row>
    <row r="150" spans="1:26" ht="18" thickBot="1" x14ac:dyDescent="0.35">
      <c r="A150" s="10"/>
      <c r="B150" s="51"/>
      <c r="C150" s="152" t="s">
        <v>11</v>
      </c>
      <c r="D150" s="4"/>
      <c r="E150" s="4"/>
      <c r="F150" s="4"/>
      <c r="G150" s="4"/>
      <c r="H150" s="4"/>
      <c r="I150" s="4"/>
      <c r="J150" s="4"/>
      <c r="K150" s="4"/>
      <c r="L150" s="4"/>
      <c r="M150" s="4"/>
      <c r="N150" s="4"/>
      <c r="O150" s="4"/>
      <c r="P150" s="4"/>
      <c r="Q150" s="4"/>
      <c r="R150" s="4"/>
      <c r="S150" s="4"/>
      <c r="T150" s="4"/>
      <c r="U150" s="4"/>
      <c r="V150" s="4"/>
      <c r="W150" s="4"/>
      <c r="X150" s="4"/>
      <c r="Y150" s="4"/>
      <c r="Z150" s="4"/>
    </row>
    <row r="151" spans="1:26" ht="17.399999999999999" x14ac:dyDescent="0.3">
      <c r="A151" s="46" t="s">
        <v>79</v>
      </c>
      <c r="B151" s="162"/>
      <c r="C151" s="73">
        <f>C139/SUM($C139:$C146)</f>
        <v>0.16129032258064516</v>
      </c>
      <c r="D151" s="4"/>
      <c r="E151" s="4"/>
      <c r="F151" s="4"/>
      <c r="G151" s="4"/>
      <c r="H151" s="4"/>
      <c r="I151" s="4"/>
      <c r="J151" s="4"/>
      <c r="K151" s="4"/>
      <c r="L151" s="4"/>
      <c r="M151" s="4"/>
      <c r="N151" s="4"/>
      <c r="O151" s="4"/>
      <c r="P151" s="4"/>
      <c r="Q151" s="4"/>
      <c r="R151" s="4"/>
      <c r="S151" s="4"/>
      <c r="T151" s="4"/>
      <c r="U151" s="4"/>
      <c r="V151" s="4"/>
      <c r="W151" s="4"/>
      <c r="X151" s="4"/>
      <c r="Y151" s="4"/>
      <c r="Z151" s="4"/>
    </row>
    <row r="152" spans="1:26" ht="17.399999999999999" x14ac:dyDescent="0.3">
      <c r="A152" s="46" t="s">
        <v>10</v>
      </c>
      <c r="B152" s="101"/>
      <c r="C152" s="73">
        <f>C140/SUM(C139:C146)</f>
        <v>0.16129032258064516</v>
      </c>
      <c r="D152" s="4"/>
      <c r="E152" s="4"/>
      <c r="F152" s="4"/>
      <c r="G152" s="4"/>
      <c r="H152" s="4"/>
      <c r="I152" s="4"/>
      <c r="J152" s="4"/>
      <c r="K152" s="4"/>
      <c r="L152" s="4"/>
      <c r="M152" s="4"/>
      <c r="N152" s="4"/>
      <c r="O152" s="4"/>
      <c r="P152" s="4"/>
      <c r="Q152" s="4"/>
      <c r="R152" s="4"/>
      <c r="S152" s="4"/>
      <c r="T152" s="4"/>
      <c r="U152" s="4"/>
      <c r="V152" s="4"/>
      <c r="W152" s="4"/>
      <c r="X152" s="4"/>
      <c r="Y152" s="4"/>
      <c r="Z152" s="4"/>
    </row>
    <row r="153" spans="1:26" ht="17.399999999999999" x14ac:dyDescent="0.3">
      <c r="A153" s="46" t="s">
        <v>11</v>
      </c>
      <c r="B153" s="101"/>
      <c r="C153" s="73">
        <f>C141/SUM(C139:C146)</f>
        <v>9.6774193548387094E-2</v>
      </c>
      <c r="D153" s="4"/>
      <c r="E153" s="4"/>
      <c r="F153" s="4"/>
      <c r="G153" s="4"/>
      <c r="H153" s="4"/>
      <c r="I153" s="4"/>
      <c r="J153" s="4"/>
      <c r="K153" s="4"/>
      <c r="L153" s="4"/>
      <c r="M153" s="4"/>
      <c r="N153" s="4"/>
      <c r="O153" s="4"/>
      <c r="P153" s="4"/>
      <c r="Q153" s="4"/>
      <c r="R153" s="4"/>
      <c r="S153" s="4"/>
      <c r="T153" s="4"/>
      <c r="U153" s="4"/>
      <c r="V153" s="4"/>
      <c r="W153" s="4"/>
      <c r="X153" s="4"/>
      <c r="Y153" s="4"/>
      <c r="Z153" s="4"/>
    </row>
    <row r="154" spans="1:26" ht="17.399999999999999" x14ac:dyDescent="0.3">
      <c r="A154" s="46" t="s">
        <v>12</v>
      </c>
      <c r="B154" s="162"/>
      <c r="C154" s="73">
        <f>C142/SUM(C139:C146)</f>
        <v>9.6774193548387094E-2</v>
      </c>
      <c r="D154" s="4"/>
      <c r="E154" s="4"/>
      <c r="F154" s="4"/>
      <c r="G154" s="4"/>
      <c r="H154" s="4"/>
      <c r="I154" s="4"/>
      <c r="J154" s="4"/>
      <c r="K154" s="4"/>
      <c r="L154" s="4"/>
      <c r="M154" s="4"/>
      <c r="N154" s="4"/>
      <c r="O154" s="4"/>
      <c r="P154" s="4"/>
      <c r="Q154" s="4"/>
      <c r="R154" s="4"/>
      <c r="S154" s="4"/>
      <c r="T154" s="4"/>
      <c r="U154" s="4"/>
      <c r="V154" s="4"/>
      <c r="W154" s="4"/>
      <c r="X154" s="4"/>
      <c r="Y154" s="4"/>
      <c r="Z154" s="4"/>
    </row>
    <row r="155" spans="1:26" ht="17.399999999999999" x14ac:dyDescent="0.3">
      <c r="A155" s="46" t="s">
        <v>13</v>
      </c>
      <c r="B155" s="47"/>
      <c r="C155" s="73">
        <f>C143/SUM(C139:C146)</f>
        <v>0.16129032258064516</v>
      </c>
      <c r="D155" s="4"/>
      <c r="E155" s="4"/>
      <c r="F155" s="4"/>
      <c r="G155" s="4"/>
      <c r="H155" s="4"/>
      <c r="I155" s="4"/>
      <c r="J155" s="4"/>
      <c r="K155" s="4"/>
      <c r="L155" s="4"/>
      <c r="M155" s="4"/>
      <c r="N155" s="4"/>
      <c r="O155" s="4"/>
      <c r="P155" s="4"/>
      <c r="Q155" s="4"/>
      <c r="R155" s="4"/>
      <c r="S155" s="4"/>
      <c r="T155" s="4"/>
      <c r="U155" s="4"/>
      <c r="V155" s="4"/>
      <c r="W155" s="4"/>
      <c r="X155" s="4"/>
      <c r="Y155" s="4"/>
      <c r="Z155" s="4"/>
    </row>
    <row r="156" spans="1:26" ht="17.399999999999999" x14ac:dyDescent="0.3">
      <c r="A156" s="19" t="s">
        <v>14</v>
      </c>
      <c r="B156" s="47"/>
      <c r="C156" s="73">
        <f>C144/SUM(C139:C146)</f>
        <v>9.6774193548387094E-2</v>
      </c>
      <c r="D156" s="4"/>
      <c r="E156" s="4"/>
      <c r="F156" s="4"/>
      <c r="G156" s="4"/>
      <c r="H156" s="4"/>
      <c r="I156" s="4"/>
      <c r="J156" s="4"/>
      <c r="K156" s="4"/>
      <c r="L156" s="4"/>
      <c r="M156" s="4"/>
      <c r="N156" s="4"/>
      <c r="O156" s="4"/>
      <c r="P156" s="4"/>
      <c r="Q156" s="4"/>
      <c r="R156" s="4"/>
      <c r="S156" s="4"/>
      <c r="T156" s="4"/>
      <c r="U156" s="4"/>
      <c r="V156" s="4"/>
      <c r="W156" s="4"/>
      <c r="X156" s="4"/>
      <c r="Y156" s="4"/>
      <c r="Z156" s="4"/>
    </row>
    <row r="157" spans="1:26" ht="17.399999999999999" x14ac:dyDescent="0.3">
      <c r="A157" s="46" t="s">
        <v>15</v>
      </c>
      <c r="B157" s="101"/>
      <c r="C157" s="73">
        <f>C145/SUM(C139:C146)</f>
        <v>0.12903225806451613</v>
      </c>
      <c r="D157" s="4"/>
      <c r="E157" s="4"/>
      <c r="F157" s="4"/>
      <c r="G157" s="4"/>
      <c r="H157" s="4"/>
      <c r="I157" s="4"/>
      <c r="J157" s="4"/>
      <c r="K157" s="4"/>
      <c r="L157" s="4"/>
      <c r="M157" s="4"/>
      <c r="N157" s="4"/>
      <c r="O157" s="4"/>
      <c r="P157" s="4"/>
      <c r="Q157" s="4"/>
      <c r="R157" s="4"/>
      <c r="S157" s="4"/>
      <c r="T157" s="4"/>
      <c r="U157" s="4"/>
      <c r="V157" s="4"/>
      <c r="W157" s="4"/>
      <c r="X157" s="4"/>
      <c r="Y157" s="4"/>
      <c r="Z157" s="4"/>
    </row>
    <row r="158" spans="1:26" ht="18" thickBot="1" x14ac:dyDescent="0.35">
      <c r="A158" s="19" t="s">
        <v>17</v>
      </c>
      <c r="B158" s="51"/>
      <c r="C158" s="74">
        <f>C146/SUM(C139:C146)</f>
        <v>9.6774193548387094E-2</v>
      </c>
      <c r="D158" s="4"/>
      <c r="E158" s="4"/>
      <c r="F158" s="4"/>
      <c r="G158" s="4"/>
      <c r="H158" s="4"/>
      <c r="I158" s="4"/>
      <c r="J158" s="4"/>
      <c r="K158" s="4"/>
      <c r="L158" s="4"/>
      <c r="M158" s="4"/>
      <c r="N158" s="4"/>
      <c r="O158" s="4"/>
      <c r="P158" s="4"/>
      <c r="Q158" s="4"/>
      <c r="R158" s="4"/>
      <c r="S158" s="4"/>
      <c r="T158" s="4"/>
      <c r="U158" s="4"/>
      <c r="V158" s="4"/>
      <c r="W158" s="4"/>
      <c r="X158" s="4"/>
      <c r="Y158" s="4"/>
      <c r="Z158" s="4"/>
    </row>
    <row r="159" spans="1:26" ht="18" thickBot="1" x14ac:dyDescent="0.35">
      <c r="A159" s="10"/>
      <c r="B159" s="9"/>
      <c r="C159" s="40">
        <f>SUM(C151:C158)</f>
        <v>1</v>
      </c>
      <c r="D159" s="4" t="s">
        <v>103</v>
      </c>
      <c r="E159" s="4"/>
      <c r="F159" s="4"/>
      <c r="G159" s="4"/>
      <c r="H159" s="4"/>
      <c r="I159" s="4"/>
      <c r="J159" s="4"/>
      <c r="K159" s="4"/>
      <c r="L159" s="4"/>
      <c r="M159" s="4"/>
      <c r="N159" s="4"/>
      <c r="O159" s="4"/>
      <c r="P159" s="4"/>
      <c r="Q159" s="4"/>
      <c r="R159" s="4"/>
      <c r="S159" s="4"/>
      <c r="T159" s="4"/>
      <c r="U159" s="4"/>
      <c r="V159" s="4"/>
      <c r="W159" s="4"/>
      <c r="X159" s="4"/>
      <c r="Y159" s="4"/>
      <c r="Z159" s="4"/>
    </row>
    <row r="160" spans="1:26" ht="17.399999999999999" x14ac:dyDescent="0.3">
      <c r="A160" s="33"/>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ht="17.399999999999999" x14ac:dyDescent="0.3">
      <c r="A161" s="35"/>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8" thickBot="1" x14ac:dyDescent="0.35">
      <c r="A162" s="4"/>
      <c r="B162" s="4"/>
      <c r="C162" s="51"/>
      <c r="D162" s="51"/>
      <c r="E162" s="51"/>
      <c r="F162" s="51"/>
      <c r="G162" s="51"/>
      <c r="H162" s="51"/>
      <c r="I162" s="51"/>
      <c r="J162" s="51"/>
      <c r="K162" s="51"/>
      <c r="L162" s="4"/>
      <c r="M162" s="4"/>
      <c r="N162" s="4"/>
      <c r="O162" s="4"/>
      <c r="P162" s="4"/>
      <c r="Q162" s="4"/>
      <c r="R162" s="4"/>
      <c r="S162" s="4"/>
      <c r="T162" s="4"/>
      <c r="U162" s="4"/>
      <c r="V162" s="4"/>
      <c r="W162" s="4"/>
      <c r="X162" s="4"/>
      <c r="Y162" s="4"/>
      <c r="Z162" s="4"/>
    </row>
    <row r="163" spans="1:26" ht="18" thickBot="1" x14ac:dyDescent="0.35">
      <c r="A163" s="4"/>
      <c r="B163" s="51"/>
      <c r="C163" s="360" t="s">
        <v>100</v>
      </c>
      <c r="D163" s="361"/>
      <c r="E163" s="362"/>
      <c r="F163" s="67"/>
      <c r="G163" s="68"/>
      <c r="H163" s="360" t="s">
        <v>101</v>
      </c>
      <c r="I163" s="361"/>
      <c r="J163" s="362"/>
      <c r="K163" s="67"/>
      <c r="L163" s="10"/>
      <c r="M163" s="4"/>
      <c r="N163" s="4"/>
      <c r="O163" s="10"/>
      <c r="P163" s="4"/>
      <c r="Q163" s="4"/>
      <c r="R163" s="4"/>
      <c r="S163" s="4"/>
      <c r="T163" s="4"/>
      <c r="U163" s="4"/>
      <c r="V163" s="4"/>
      <c r="W163" s="4"/>
      <c r="X163" s="4"/>
      <c r="Y163" s="4"/>
      <c r="Z163" s="4"/>
    </row>
    <row r="164" spans="1:26" ht="18.600000000000001" thickBot="1" x14ac:dyDescent="0.4">
      <c r="A164" s="10" t="s">
        <v>76</v>
      </c>
      <c r="B164" s="51"/>
      <c r="C164" s="86" t="s">
        <v>8</v>
      </c>
      <c r="D164" s="87" t="s">
        <v>9</v>
      </c>
      <c r="E164" s="88" t="s">
        <v>18</v>
      </c>
      <c r="F164" s="167" t="s">
        <v>19</v>
      </c>
      <c r="G164" s="176" t="s">
        <v>20</v>
      </c>
      <c r="H164" s="147" t="s">
        <v>8</v>
      </c>
      <c r="I164" s="148" t="s">
        <v>9</v>
      </c>
      <c r="J164" s="149" t="s">
        <v>18</v>
      </c>
      <c r="K164" s="29" t="s">
        <v>11</v>
      </c>
      <c r="L164" s="11"/>
      <c r="M164" s="11"/>
      <c r="N164" s="11"/>
      <c r="O164" s="4"/>
      <c r="P164" s="4"/>
      <c r="Q164" s="4"/>
      <c r="R164" s="4"/>
      <c r="S164" s="4"/>
      <c r="T164" s="4"/>
      <c r="U164" s="4"/>
      <c r="V164" s="4"/>
      <c r="W164" s="4"/>
      <c r="X164" s="4"/>
      <c r="Y164" s="4"/>
      <c r="Z164" s="4"/>
    </row>
    <row r="165" spans="1:26" ht="17.399999999999999" x14ac:dyDescent="0.3">
      <c r="A165" s="46" t="s">
        <v>27</v>
      </c>
      <c r="B165" s="162"/>
      <c r="C165" s="85">
        <v>15</v>
      </c>
      <c r="D165" s="52">
        <v>10</v>
      </c>
      <c r="E165" s="53">
        <v>12</v>
      </c>
      <c r="F165" s="201">
        <v>8</v>
      </c>
      <c r="G165" s="202"/>
      <c r="H165" s="178">
        <f t="shared" ref="H165:J173" si="14">H125</f>
        <v>1</v>
      </c>
      <c r="I165" s="179">
        <f t="shared" si="14"/>
        <v>0.66666666666666663</v>
      </c>
      <c r="J165" s="180">
        <f t="shared" si="14"/>
        <v>0.8</v>
      </c>
      <c r="K165" s="244">
        <f>C151</f>
        <v>0.16129032258064516</v>
      </c>
      <c r="L165" s="4"/>
      <c r="M165" s="4"/>
      <c r="N165" s="4"/>
      <c r="O165" s="4"/>
      <c r="P165" s="4"/>
      <c r="Q165" s="4"/>
      <c r="R165" s="4"/>
      <c r="S165" s="4"/>
      <c r="T165" s="4"/>
      <c r="U165" s="4"/>
      <c r="V165" s="4"/>
      <c r="W165" s="4"/>
      <c r="X165" s="4"/>
      <c r="Y165" s="4"/>
      <c r="Z165" s="4"/>
    </row>
    <row r="166" spans="1:26" ht="17.399999999999999" x14ac:dyDescent="0.3">
      <c r="A166" s="46" t="s">
        <v>56</v>
      </c>
      <c r="B166" s="101"/>
      <c r="C166" s="58">
        <v>850</v>
      </c>
      <c r="D166" s="59">
        <v>500</v>
      </c>
      <c r="E166" s="60">
        <v>600</v>
      </c>
      <c r="F166" s="201"/>
      <c r="G166" s="203">
        <v>1000</v>
      </c>
      <c r="H166" s="178">
        <f t="shared" si="14"/>
        <v>0</v>
      </c>
      <c r="I166" s="179">
        <f t="shared" si="14"/>
        <v>0.41176470588235292</v>
      </c>
      <c r="J166" s="180">
        <f t="shared" si="14"/>
        <v>0.29411764705882348</v>
      </c>
      <c r="K166" s="245">
        <f t="shared" ref="K166:K172" si="15">C152</f>
        <v>0.16129032258064516</v>
      </c>
      <c r="L166" s="4"/>
      <c r="M166" s="4"/>
      <c r="N166" s="4"/>
      <c r="O166" s="4"/>
      <c r="P166" s="4"/>
      <c r="Q166" s="4"/>
      <c r="R166" s="4"/>
      <c r="S166" s="4"/>
      <c r="T166" s="4"/>
      <c r="U166" s="4"/>
      <c r="V166" s="4"/>
      <c r="W166" s="4"/>
      <c r="X166" s="4"/>
      <c r="Y166" s="4"/>
      <c r="Z166" s="4"/>
    </row>
    <row r="167" spans="1:26" ht="17.399999999999999" x14ac:dyDescent="0.3">
      <c r="A167" s="46" t="s">
        <v>118</v>
      </c>
      <c r="B167" s="101"/>
      <c r="C167" s="49">
        <v>5</v>
      </c>
      <c r="D167" s="51">
        <v>3.5</v>
      </c>
      <c r="E167" s="57">
        <v>2</v>
      </c>
      <c r="F167" s="201"/>
      <c r="G167" s="202">
        <v>7</v>
      </c>
      <c r="H167" s="178">
        <f t="shared" si="14"/>
        <v>0</v>
      </c>
      <c r="I167" s="179">
        <f t="shared" si="14"/>
        <v>0.375</v>
      </c>
      <c r="J167" s="180">
        <f t="shared" si="14"/>
        <v>0.75</v>
      </c>
      <c r="K167" s="245">
        <f t="shared" si="15"/>
        <v>9.6774193548387094E-2</v>
      </c>
      <c r="L167" s="4"/>
      <c r="M167" s="4"/>
      <c r="N167" s="4"/>
      <c r="O167" s="4"/>
      <c r="P167" s="4"/>
      <c r="Q167" s="4"/>
      <c r="R167" s="4"/>
      <c r="S167" s="4"/>
      <c r="T167" s="4"/>
      <c r="U167" s="4"/>
      <c r="V167" s="4"/>
      <c r="W167" s="4"/>
      <c r="X167" s="4"/>
      <c r="Y167" s="4"/>
      <c r="Z167" s="4"/>
    </row>
    <row r="168" spans="1:26" ht="17.399999999999999" x14ac:dyDescent="0.3">
      <c r="A168" s="46" t="s">
        <v>57</v>
      </c>
      <c r="B168" s="162"/>
      <c r="C168" s="61">
        <v>2</v>
      </c>
      <c r="D168" s="62">
        <v>1</v>
      </c>
      <c r="E168" s="63">
        <v>1.7</v>
      </c>
      <c r="F168" s="204"/>
      <c r="G168" s="205">
        <v>1</v>
      </c>
      <c r="H168" s="178">
        <f t="shared" si="14"/>
        <v>1</v>
      </c>
      <c r="I168" s="179">
        <f t="shared" si="14"/>
        <v>0.25</v>
      </c>
      <c r="J168" s="180">
        <f t="shared" si="14"/>
        <v>0.75</v>
      </c>
      <c r="K168" s="245">
        <f t="shared" si="15"/>
        <v>9.6774193548387094E-2</v>
      </c>
      <c r="L168" s="4"/>
      <c r="M168" s="4"/>
      <c r="N168" s="4"/>
      <c r="O168" s="4"/>
      <c r="P168" s="4"/>
      <c r="Q168" s="4"/>
      <c r="R168" s="4"/>
      <c r="S168" s="4"/>
      <c r="T168" s="4"/>
      <c r="U168" s="4"/>
      <c r="V168" s="4"/>
      <c r="W168" s="4"/>
      <c r="X168" s="4"/>
      <c r="Y168" s="4"/>
      <c r="Z168" s="4"/>
    </row>
    <row r="169" spans="1:26" ht="17.399999999999999" x14ac:dyDescent="0.3">
      <c r="A169" s="46" t="s">
        <v>58</v>
      </c>
      <c r="B169" s="47"/>
      <c r="C169" s="49">
        <v>2</v>
      </c>
      <c r="D169" s="51">
        <v>1.75</v>
      </c>
      <c r="E169" s="57">
        <v>1.28</v>
      </c>
      <c r="F169" s="201">
        <v>1</v>
      </c>
      <c r="G169" s="206"/>
      <c r="H169" s="178">
        <f t="shared" si="14"/>
        <v>0.39761431411530812</v>
      </c>
      <c r="I169" s="179">
        <f t="shared" si="14"/>
        <v>0.34791252485089463</v>
      </c>
      <c r="J169" s="180">
        <f t="shared" si="14"/>
        <v>0.25447316103379719</v>
      </c>
      <c r="K169" s="245">
        <f t="shared" si="15"/>
        <v>0.16129032258064516</v>
      </c>
      <c r="L169" s="4"/>
      <c r="M169" s="4"/>
      <c r="N169" s="4"/>
      <c r="O169" s="4"/>
      <c r="P169" s="4"/>
      <c r="Q169" s="4"/>
      <c r="R169" s="4"/>
      <c r="S169" s="4"/>
      <c r="T169" s="4"/>
      <c r="U169" s="4"/>
      <c r="V169" s="4"/>
      <c r="W169" s="4"/>
      <c r="X169" s="4"/>
      <c r="Y169" s="4"/>
      <c r="Z169" s="4"/>
    </row>
    <row r="170" spans="1:26" ht="17.399999999999999" x14ac:dyDescent="0.3">
      <c r="A170" s="19" t="s">
        <v>59</v>
      </c>
      <c r="B170" s="47"/>
      <c r="C170" s="64">
        <v>100</v>
      </c>
      <c r="D170" s="65">
        <v>80</v>
      </c>
      <c r="E170" s="66">
        <v>99</v>
      </c>
      <c r="F170" s="201"/>
      <c r="G170" s="202"/>
      <c r="H170" s="178">
        <f t="shared" si="14"/>
        <v>1</v>
      </c>
      <c r="I170" s="179">
        <f t="shared" si="14"/>
        <v>0.8</v>
      </c>
      <c r="J170" s="180">
        <f t="shared" si="14"/>
        <v>0.99</v>
      </c>
      <c r="K170" s="245">
        <f t="shared" si="15"/>
        <v>9.6774193548387094E-2</v>
      </c>
      <c r="L170" s="4"/>
      <c r="M170" s="4"/>
      <c r="N170" s="4"/>
      <c r="O170" s="4"/>
      <c r="P170" s="4"/>
      <c r="Q170" s="4"/>
      <c r="R170" s="4"/>
      <c r="S170" s="4"/>
      <c r="T170" s="4"/>
      <c r="U170" s="4"/>
      <c r="V170" s="4"/>
      <c r="W170" s="4"/>
      <c r="X170" s="4"/>
      <c r="Y170" s="4"/>
      <c r="Z170" s="4"/>
    </row>
    <row r="171" spans="1:26" ht="17.399999999999999" x14ac:dyDescent="0.3">
      <c r="A171" s="46" t="s">
        <v>61</v>
      </c>
      <c r="B171" s="101"/>
      <c r="C171" s="49">
        <v>5</v>
      </c>
      <c r="D171" s="51">
        <v>3</v>
      </c>
      <c r="E171" s="57">
        <v>4</v>
      </c>
      <c r="F171" s="201"/>
      <c r="G171" s="202"/>
      <c r="H171" s="178">
        <f t="shared" si="14"/>
        <v>1</v>
      </c>
      <c r="I171" s="179">
        <f t="shared" si="14"/>
        <v>0.6</v>
      </c>
      <c r="J171" s="180">
        <f t="shared" si="14"/>
        <v>0.8</v>
      </c>
      <c r="K171" s="245">
        <f t="shared" si="15"/>
        <v>0.12903225806451613</v>
      </c>
      <c r="L171" s="4"/>
      <c r="M171" s="4"/>
      <c r="N171" s="4"/>
      <c r="O171" s="4"/>
      <c r="P171" s="4"/>
      <c r="Q171" s="4"/>
      <c r="R171" s="4"/>
      <c r="S171" s="4"/>
      <c r="T171" s="4"/>
      <c r="U171" s="4"/>
      <c r="V171" s="4"/>
      <c r="W171" s="4"/>
      <c r="X171" s="4"/>
      <c r="Y171" s="4"/>
      <c r="Z171" s="4"/>
    </row>
    <row r="172" spans="1:26" ht="18" thickBot="1" x14ac:dyDescent="0.35">
      <c r="A172" s="19" t="s">
        <v>63</v>
      </c>
      <c r="B172" s="51"/>
      <c r="C172" s="67">
        <v>5</v>
      </c>
      <c r="D172" s="68" t="s">
        <v>42</v>
      </c>
      <c r="E172" s="69" t="s">
        <v>43</v>
      </c>
      <c r="F172" s="207" t="s">
        <v>42</v>
      </c>
      <c r="G172" s="208"/>
      <c r="H172" s="181">
        <f t="shared" si="14"/>
        <v>1</v>
      </c>
      <c r="I172" s="182">
        <f t="shared" si="14"/>
        <v>1</v>
      </c>
      <c r="J172" s="183">
        <f t="shared" si="14"/>
        <v>0.5</v>
      </c>
      <c r="K172" s="246">
        <f t="shared" si="15"/>
        <v>9.6774193548387094E-2</v>
      </c>
      <c r="L172" s="4"/>
      <c r="M172" s="4"/>
      <c r="N172" s="4"/>
      <c r="O172" s="4"/>
      <c r="P172" s="4"/>
      <c r="Q172" s="4"/>
      <c r="R172" s="4"/>
      <c r="S172" s="4"/>
      <c r="T172" s="4"/>
      <c r="U172" s="4"/>
      <c r="V172" s="4"/>
      <c r="W172" s="4"/>
      <c r="X172" s="4"/>
      <c r="Y172" s="4"/>
      <c r="Z172" s="4"/>
    </row>
    <row r="173" spans="1:26" ht="18" thickBot="1" x14ac:dyDescent="0.35">
      <c r="A173" s="10" t="s">
        <v>44</v>
      </c>
      <c r="B173" s="51"/>
      <c r="C173" s="52"/>
      <c r="D173" s="52"/>
      <c r="E173" s="52"/>
      <c r="F173" s="4"/>
      <c r="G173" s="9"/>
      <c r="H173" s="42">
        <f t="shared" si="14"/>
        <v>5.3976143141153079</v>
      </c>
      <c r="I173" s="42">
        <f t="shared" si="14"/>
        <v>4.451343897399914</v>
      </c>
      <c r="J173" s="43">
        <f t="shared" si="14"/>
        <v>5.138590808092621</v>
      </c>
      <c r="K173" s="4"/>
      <c r="L173" s="4"/>
      <c r="M173" s="4"/>
      <c r="N173" s="4"/>
      <c r="O173" s="4"/>
      <c r="P173" s="4"/>
      <c r="Q173" s="4"/>
      <c r="R173" s="4"/>
      <c r="S173" s="4"/>
      <c r="T173" s="4"/>
      <c r="U173" s="4"/>
      <c r="V173" s="4"/>
      <c r="W173" s="4"/>
      <c r="X173" s="4"/>
      <c r="Y173" s="4"/>
      <c r="Z173" s="4"/>
    </row>
    <row r="174" spans="1:26" ht="18" thickBot="1" x14ac:dyDescent="0.35">
      <c r="A174" s="22"/>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8" thickBot="1" x14ac:dyDescent="0.35">
      <c r="A175" s="23" t="s">
        <v>66</v>
      </c>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7.399999999999999" x14ac:dyDescent="0.3">
      <c r="A176" s="10"/>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7.399999999999999" x14ac:dyDescent="0.3">
      <c r="A177" s="1" t="s">
        <v>67</v>
      </c>
      <c r="B177" s="3"/>
      <c r="C177" s="3"/>
      <c r="D177" s="3"/>
      <c r="E177" s="3"/>
      <c r="F177" s="3"/>
      <c r="G177" s="4"/>
      <c r="H177" s="4"/>
      <c r="I177" s="4"/>
      <c r="J177" s="4"/>
      <c r="K177" s="4"/>
      <c r="L177" s="4"/>
      <c r="M177" s="4"/>
      <c r="N177" s="4"/>
      <c r="O177" s="4"/>
      <c r="P177" s="4"/>
      <c r="Q177" s="4"/>
      <c r="R177" s="4"/>
      <c r="S177" s="4"/>
      <c r="T177" s="4"/>
      <c r="U177" s="4"/>
      <c r="V177" s="4"/>
      <c r="W177" s="4"/>
      <c r="X177" s="4"/>
      <c r="Y177" s="4"/>
      <c r="Z177" s="4"/>
    </row>
    <row r="178" spans="1:26" ht="17.399999999999999" x14ac:dyDescent="0.3">
      <c r="A178" s="1" t="s">
        <v>68</v>
      </c>
      <c r="B178" s="3"/>
      <c r="C178" s="3"/>
      <c r="D178" s="3"/>
      <c r="E178" s="3"/>
      <c r="F178" s="3"/>
      <c r="G178" s="3"/>
      <c r="H178" s="4"/>
      <c r="I178" s="4"/>
      <c r="J178" s="4"/>
      <c r="K178" s="4"/>
      <c r="L178" s="4"/>
      <c r="M178" s="4"/>
      <c r="N178" s="4"/>
      <c r="O178" s="4"/>
      <c r="P178" s="4"/>
      <c r="Q178" s="4"/>
      <c r="R178" s="4"/>
      <c r="S178" s="4"/>
      <c r="T178" s="4"/>
      <c r="U178" s="4"/>
      <c r="V178" s="4"/>
      <c r="W178" s="4"/>
      <c r="X178" s="4"/>
      <c r="Y178" s="4"/>
      <c r="Z178" s="4"/>
    </row>
    <row r="179" spans="1:26" ht="17.399999999999999" x14ac:dyDescent="0.3">
      <c r="A179" s="10"/>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8" thickBot="1" x14ac:dyDescent="0.35">
      <c r="A180" s="4"/>
      <c r="B180" s="4"/>
      <c r="C180" s="51"/>
      <c r="D180" s="51"/>
      <c r="E180" s="51"/>
      <c r="F180" s="51"/>
      <c r="G180" s="51"/>
      <c r="H180" s="6"/>
      <c r="I180" s="6"/>
      <c r="J180" s="6"/>
      <c r="K180" s="51"/>
      <c r="L180" s="6"/>
      <c r="M180" s="6"/>
      <c r="N180" s="6"/>
      <c r="O180" s="34"/>
      <c r="P180" s="4"/>
      <c r="Q180" s="4"/>
      <c r="R180" s="4"/>
      <c r="S180" s="4"/>
      <c r="T180" s="4"/>
      <c r="U180" s="4"/>
      <c r="V180" s="4"/>
      <c r="W180" s="4"/>
      <c r="X180" s="4"/>
      <c r="Y180" s="4"/>
      <c r="Z180" s="4"/>
    </row>
    <row r="181" spans="1:26" ht="18" thickBot="1" x14ac:dyDescent="0.35">
      <c r="A181" s="4"/>
      <c r="B181" s="51"/>
      <c r="C181" s="360" t="s">
        <v>100</v>
      </c>
      <c r="D181" s="361"/>
      <c r="E181" s="362"/>
      <c r="F181" s="67"/>
      <c r="G181" s="68"/>
      <c r="H181" s="360" t="s">
        <v>101</v>
      </c>
      <c r="I181" s="361"/>
      <c r="J181" s="362"/>
      <c r="K181" s="67"/>
      <c r="L181" s="397" t="s">
        <v>102</v>
      </c>
      <c r="M181" s="351"/>
      <c r="N181" s="352"/>
      <c r="O181" s="120" t="s">
        <v>16</v>
      </c>
      <c r="P181" s="4"/>
      <c r="Q181" s="4"/>
      <c r="R181" s="4"/>
      <c r="S181" s="4"/>
      <c r="T181" s="4"/>
      <c r="U181" s="4"/>
      <c r="V181" s="4"/>
      <c r="W181" s="4"/>
      <c r="X181" s="4"/>
      <c r="Y181" s="4"/>
      <c r="Z181" s="4"/>
    </row>
    <row r="182" spans="1:26" ht="18.600000000000001" thickBot="1" x14ac:dyDescent="0.4">
      <c r="A182" s="10" t="s">
        <v>76</v>
      </c>
      <c r="B182" s="51"/>
      <c r="C182" s="86" t="s">
        <v>8</v>
      </c>
      <c r="D182" s="87" t="s">
        <v>9</v>
      </c>
      <c r="E182" s="88" t="s">
        <v>18</v>
      </c>
      <c r="F182" s="167" t="s">
        <v>19</v>
      </c>
      <c r="G182" s="176" t="s">
        <v>20</v>
      </c>
      <c r="H182" s="147" t="s">
        <v>8</v>
      </c>
      <c r="I182" s="148" t="s">
        <v>9</v>
      </c>
      <c r="J182" s="149" t="s">
        <v>18</v>
      </c>
      <c r="K182" s="29" t="s">
        <v>11</v>
      </c>
      <c r="L182" s="185" t="s">
        <v>8</v>
      </c>
      <c r="M182" s="186" t="s">
        <v>9</v>
      </c>
      <c r="N182" s="187" t="s">
        <v>18</v>
      </c>
      <c r="O182" s="4"/>
      <c r="P182" s="4"/>
      <c r="Q182" s="4"/>
      <c r="R182" s="4"/>
      <c r="S182" s="4"/>
      <c r="T182" s="4"/>
      <c r="U182" s="4"/>
      <c r="V182" s="4"/>
      <c r="W182" s="4"/>
      <c r="X182" s="4"/>
      <c r="Y182" s="4"/>
      <c r="Z182" s="4"/>
    </row>
    <row r="183" spans="1:26" ht="17.399999999999999" x14ac:dyDescent="0.3">
      <c r="A183" s="46" t="s">
        <v>27</v>
      </c>
      <c r="B183" s="162"/>
      <c r="C183" s="85">
        <v>15</v>
      </c>
      <c r="D183" s="52">
        <v>10</v>
      </c>
      <c r="E183" s="53">
        <v>12</v>
      </c>
      <c r="F183" s="201">
        <v>8</v>
      </c>
      <c r="G183" s="202"/>
      <c r="H183" s="41">
        <f t="shared" ref="H183:J183" si="16">H165</f>
        <v>1</v>
      </c>
      <c r="I183" s="41">
        <f t="shared" si="16"/>
        <v>0.66666666666666663</v>
      </c>
      <c r="J183" s="179">
        <f t="shared" si="16"/>
        <v>0.8</v>
      </c>
      <c r="K183" s="184">
        <f>K165</f>
        <v>0.16129032258064516</v>
      </c>
      <c r="L183" s="121">
        <f t="shared" ref="L183:L190" si="17">H183*K183</f>
        <v>0.16129032258064516</v>
      </c>
      <c r="M183" s="121">
        <f t="shared" ref="M183:M190" si="18">I183*K183</f>
        <v>0.1075268817204301</v>
      </c>
      <c r="N183" s="122">
        <f t="shared" ref="N183:N190" si="19">J183*K183</f>
        <v>0.12903225806451613</v>
      </c>
      <c r="O183" s="4"/>
      <c r="P183" s="4"/>
      <c r="Q183" s="4"/>
      <c r="R183" s="4"/>
      <c r="S183" s="4"/>
      <c r="T183" s="4"/>
      <c r="U183" s="4"/>
      <c r="V183" s="4"/>
      <c r="W183" s="4"/>
      <c r="X183" s="4"/>
      <c r="Y183" s="4"/>
      <c r="Z183" s="4"/>
    </row>
    <row r="184" spans="1:26" ht="17.399999999999999" x14ac:dyDescent="0.3">
      <c r="A184" s="46" t="s">
        <v>56</v>
      </c>
      <c r="B184" s="101"/>
      <c r="C184" s="58">
        <v>850</v>
      </c>
      <c r="D184" s="59">
        <v>500</v>
      </c>
      <c r="E184" s="60">
        <v>600</v>
      </c>
      <c r="F184" s="201"/>
      <c r="G184" s="203">
        <v>1000</v>
      </c>
      <c r="H184" s="41">
        <f t="shared" ref="H184:K184" si="20">H166</f>
        <v>0</v>
      </c>
      <c r="I184" s="41">
        <f t="shared" si="20"/>
        <v>0.41176470588235292</v>
      </c>
      <c r="J184" s="179">
        <f t="shared" si="20"/>
        <v>0.29411764705882348</v>
      </c>
      <c r="K184" s="73">
        <f t="shared" si="20"/>
        <v>0.16129032258064516</v>
      </c>
      <c r="L184" s="121">
        <f t="shared" si="17"/>
        <v>0</v>
      </c>
      <c r="M184" s="121">
        <f t="shared" si="18"/>
        <v>6.6413662239089177E-2</v>
      </c>
      <c r="N184" s="122">
        <f t="shared" si="19"/>
        <v>4.7438330170777983E-2</v>
      </c>
      <c r="O184" s="4"/>
      <c r="P184" s="4"/>
      <c r="Q184" s="4"/>
      <c r="R184" s="4"/>
      <c r="S184" s="4"/>
      <c r="T184" s="4"/>
      <c r="U184" s="4"/>
      <c r="V184" s="4"/>
      <c r="W184" s="4"/>
      <c r="X184" s="4"/>
      <c r="Y184" s="4"/>
      <c r="Z184" s="4"/>
    </row>
    <row r="185" spans="1:26" ht="17.399999999999999" x14ac:dyDescent="0.3">
      <c r="A185" s="46" t="s">
        <v>118</v>
      </c>
      <c r="B185" s="101"/>
      <c r="C185" s="49">
        <v>5</v>
      </c>
      <c r="D185" s="51">
        <v>3.5</v>
      </c>
      <c r="E185" s="57">
        <v>2</v>
      </c>
      <c r="F185" s="201"/>
      <c r="G185" s="202">
        <v>7</v>
      </c>
      <c r="H185" s="41">
        <f t="shared" ref="H185:K185" si="21">H167</f>
        <v>0</v>
      </c>
      <c r="I185" s="41">
        <f t="shared" si="21"/>
        <v>0.375</v>
      </c>
      <c r="J185" s="179">
        <f t="shared" si="21"/>
        <v>0.75</v>
      </c>
      <c r="K185" s="73">
        <f t="shared" si="21"/>
        <v>9.6774193548387094E-2</v>
      </c>
      <c r="L185" s="121">
        <f t="shared" si="17"/>
        <v>0</v>
      </c>
      <c r="M185" s="121">
        <f t="shared" si="18"/>
        <v>3.6290322580645157E-2</v>
      </c>
      <c r="N185" s="122">
        <f t="shared" si="19"/>
        <v>7.2580645161290314E-2</v>
      </c>
      <c r="O185" s="4"/>
      <c r="P185" s="4"/>
      <c r="Q185" s="4"/>
      <c r="R185" s="4"/>
      <c r="S185" s="4"/>
      <c r="T185" s="4"/>
      <c r="U185" s="4"/>
      <c r="V185" s="4"/>
      <c r="W185" s="4"/>
      <c r="X185" s="4"/>
      <c r="Y185" s="4"/>
      <c r="Z185" s="4"/>
    </row>
    <row r="186" spans="1:26" ht="17.399999999999999" x14ac:dyDescent="0.3">
      <c r="A186" s="46" t="s">
        <v>57</v>
      </c>
      <c r="B186" s="162"/>
      <c r="C186" s="61">
        <v>2</v>
      </c>
      <c r="D186" s="62">
        <v>1</v>
      </c>
      <c r="E186" s="63">
        <v>1.7</v>
      </c>
      <c r="F186" s="204"/>
      <c r="G186" s="205">
        <v>1</v>
      </c>
      <c r="H186" s="41">
        <f t="shared" ref="H186:K186" si="22">H168</f>
        <v>1</v>
      </c>
      <c r="I186" s="41">
        <f t="shared" si="22"/>
        <v>0.25</v>
      </c>
      <c r="J186" s="179">
        <f t="shared" si="22"/>
        <v>0.75</v>
      </c>
      <c r="K186" s="73">
        <f t="shared" si="22"/>
        <v>9.6774193548387094E-2</v>
      </c>
      <c r="L186" s="121">
        <f t="shared" si="17"/>
        <v>9.6774193548387094E-2</v>
      </c>
      <c r="M186" s="121">
        <f t="shared" si="18"/>
        <v>2.4193548387096774E-2</v>
      </c>
      <c r="N186" s="122">
        <f t="shared" si="19"/>
        <v>7.2580645161290314E-2</v>
      </c>
      <c r="O186" s="4"/>
      <c r="P186" s="4"/>
      <c r="Q186" s="4"/>
      <c r="R186" s="4"/>
      <c r="S186" s="4"/>
      <c r="T186" s="4"/>
      <c r="U186" s="4"/>
      <c r="V186" s="4"/>
      <c r="W186" s="4"/>
      <c r="X186" s="4"/>
      <c r="Y186" s="4"/>
      <c r="Z186" s="4"/>
    </row>
    <row r="187" spans="1:26" ht="17.399999999999999" x14ac:dyDescent="0.3">
      <c r="A187" s="46" t="s">
        <v>58</v>
      </c>
      <c r="B187" s="47"/>
      <c r="C187" s="49">
        <v>2</v>
      </c>
      <c r="D187" s="51">
        <v>1.75</v>
      </c>
      <c r="E187" s="57">
        <v>1.28</v>
      </c>
      <c r="F187" s="201">
        <v>1</v>
      </c>
      <c r="G187" s="206"/>
      <c r="H187" s="41">
        <f t="shared" ref="H187:K187" si="23">H169</f>
        <v>0.39761431411530812</v>
      </c>
      <c r="I187" s="41">
        <f t="shared" si="23"/>
        <v>0.34791252485089463</v>
      </c>
      <c r="J187" s="179">
        <f t="shared" si="23"/>
        <v>0.25447316103379719</v>
      </c>
      <c r="K187" s="73">
        <f t="shared" si="23"/>
        <v>0.16129032258064516</v>
      </c>
      <c r="L187" s="121">
        <f t="shared" si="17"/>
        <v>6.4131340986340019E-2</v>
      </c>
      <c r="M187" s="121">
        <f t="shared" si="18"/>
        <v>5.611492336304752E-2</v>
      </c>
      <c r="N187" s="122">
        <f t="shared" si="19"/>
        <v>4.1044058231257612E-2</v>
      </c>
      <c r="O187" s="4"/>
      <c r="P187" s="4"/>
      <c r="Q187" s="4"/>
      <c r="R187" s="4"/>
      <c r="S187" s="4"/>
      <c r="T187" s="4"/>
      <c r="U187" s="4"/>
      <c r="V187" s="4"/>
      <c r="W187" s="4"/>
      <c r="X187" s="4"/>
      <c r="Y187" s="4"/>
      <c r="Z187" s="4"/>
    </row>
    <row r="188" spans="1:26" ht="17.399999999999999" x14ac:dyDescent="0.3">
      <c r="A188" s="19" t="s">
        <v>59</v>
      </c>
      <c r="B188" s="47"/>
      <c r="C188" s="64">
        <v>100</v>
      </c>
      <c r="D188" s="65">
        <v>80</v>
      </c>
      <c r="E188" s="66">
        <v>99</v>
      </c>
      <c r="F188" s="201"/>
      <c r="G188" s="202"/>
      <c r="H188" s="41">
        <f t="shared" ref="H188:K188" si="24">H170</f>
        <v>1</v>
      </c>
      <c r="I188" s="41">
        <f t="shared" si="24"/>
        <v>0.8</v>
      </c>
      <c r="J188" s="179">
        <f t="shared" si="24"/>
        <v>0.99</v>
      </c>
      <c r="K188" s="73">
        <f t="shared" si="24"/>
        <v>9.6774193548387094E-2</v>
      </c>
      <c r="L188" s="121">
        <f t="shared" si="17"/>
        <v>9.6774193548387094E-2</v>
      </c>
      <c r="M188" s="121">
        <f t="shared" si="18"/>
        <v>7.7419354838709681E-2</v>
      </c>
      <c r="N188" s="122">
        <f t="shared" si="19"/>
        <v>9.5806451612903229E-2</v>
      </c>
      <c r="O188" s="4"/>
      <c r="P188" s="4"/>
      <c r="Q188" s="4"/>
      <c r="R188" s="4"/>
      <c r="S188" s="4"/>
      <c r="T188" s="4"/>
      <c r="U188" s="4"/>
      <c r="V188" s="4"/>
      <c r="W188" s="4"/>
      <c r="X188" s="4"/>
      <c r="Y188" s="4"/>
      <c r="Z188" s="4"/>
    </row>
    <row r="189" spans="1:26" ht="17.399999999999999" x14ac:dyDescent="0.3">
      <c r="A189" s="46" t="s">
        <v>61</v>
      </c>
      <c r="B189" s="101"/>
      <c r="C189" s="49">
        <v>5</v>
      </c>
      <c r="D189" s="51">
        <v>3</v>
      </c>
      <c r="E189" s="57">
        <v>4</v>
      </c>
      <c r="F189" s="201"/>
      <c r="G189" s="202"/>
      <c r="H189" s="41">
        <f t="shared" ref="H189:K189" si="25">H171</f>
        <v>1</v>
      </c>
      <c r="I189" s="41">
        <f t="shared" si="25"/>
        <v>0.6</v>
      </c>
      <c r="J189" s="179">
        <f t="shared" si="25"/>
        <v>0.8</v>
      </c>
      <c r="K189" s="73">
        <f t="shared" si="25"/>
        <v>0.12903225806451613</v>
      </c>
      <c r="L189" s="121">
        <f t="shared" si="17"/>
        <v>0.12903225806451613</v>
      </c>
      <c r="M189" s="121">
        <f t="shared" si="18"/>
        <v>7.7419354838709667E-2</v>
      </c>
      <c r="N189" s="122">
        <f t="shared" si="19"/>
        <v>0.1032258064516129</v>
      </c>
      <c r="O189" s="4"/>
      <c r="P189" s="4"/>
      <c r="Q189" s="4"/>
      <c r="R189" s="4"/>
      <c r="S189" s="4"/>
      <c r="T189" s="4"/>
      <c r="U189" s="4"/>
      <c r="V189" s="4"/>
      <c r="W189" s="4"/>
      <c r="X189" s="4"/>
      <c r="Y189" s="4"/>
      <c r="Z189" s="4"/>
    </row>
    <row r="190" spans="1:26" ht="18" thickBot="1" x14ac:dyDescent="0.35">
      <c r="A190" s="19" t="s">
        <v>63</v>
      </c>
      <c r="B190" s="51"/>
      <c r="C190" s="67">
        <v>5</v>
      </c>
      <c r="D190" s="68" t="s">
        <v>42</v>
      </c>
      <c r="E190" s="69" t="s">
        <v>43</v>
      </c>
      <c r="F190" s="207" t="s">
        <v>42</v>
      </c>
      <c r="G190" s="208"/>
      <c r="H190" s="42">
        <f t="shared" ref="H190:K190" si="26">H172</f>
        <v>1</v>
      </c>
      <c r="I190" s="42">
        <f t="shared" si="26"/>
        <v>1</v>
      </c>
      <c r="J190" s="188">
        <f t="shared" si="26"/>
        <v>0.5</v>
      </c>
      <c r="K190" s="74">
        <f t="shared" si="26"/>
        <v>9.6774193548387094E-2</v>
      </c>
      <c r="L190" s="123">
        <f t="shared" si="17"/>
        <v>9.6774193548387094E-2</v>
      </c>
      <c r="M190" s="123">
        <f t="shared" si="18"/>
        <v>9.6774193548387094E-2</v>
      </c>
      <c r="N190" s="124">
        <f t="shared" si="19"/>
        <v>4.8387096774193547E-2</v>
      </c>
      <c r="O190" s="4"/>
      <c r="P190" s="4"/>
      <c r="Q190" s="4"/>
      <c r="R190" s="4"/>
      <c r="S190" s="4"/>
      <c r="T190" s="4"/>
      <c r="U190" s="4"/>
      <c r="V190" s="4"/>
      <c r="W190" s="4"/>
      <c r="X190" s="4"/>
      <c r="Y190" s="4"/>
      <c r="Z190" s="4"/>
    </row>
    <row r="191" spans="1:26" ht="18" thickBot="1" x14ac:dyDescent="0.35">
      <c r="A191" s="10" t="s">
        <v>44</v>
      </c>
      <c r="B191" s="51"/>
      <c r="C191" s="52"/>
      <c r="D191" s="52"/>
      <c r="E191" s="52"/>
      <c r="F191" s="4"/>
      <c r="G191" s="9"/>
      <c r="H191" s="44">
        <f t="shared" ref="H191:J191" si="27">H173</f>
        <v>5.3976143141153079</v>
      </c>
      <c r="I191" s="44">
        <f t="shared" si="27"/>
        <v>4.451343897399914</v>
      </c>
      <c r="J191" s="45">
        <f t="shared" si="27"/>
        <v>5.138590808092621</v>
      </c>
      <c r="K191" s="9"/>
      <c r="L191" s="125">
        <f t="shared" ref="L191:N191" si="28">SUM(L183:L190)</f>
        <v>0.64477650227666261</v>
      </c>
      <c r="M191" s="125">
        <f t="shared" si="28"/>
        <v>0.54215224151611519</v>
      </c>
      <c r="N191" s="124">
        <f t="shared" si="28"/>
        <v>0.61009529162784204</v>
      </c>
      <c r="O191" s="4"/>
      <c r="P191" s="4"/>
      <c r="Q191" s="4"/>
      <c r="R191" s="4"/>
      <c r="S191" s="4"/>
      <c r="T191" s="4"/>
      <c r="U191" s="4"/>
      <c r="V191" s="4"/>
      <c r="W191" s="4"/>
      <c r="X191" s="4"/>
      <c r="Y191" s="4"/>
      <c r="Z191" s="4"/>
    </row>
    <row r="192" spans="1:26" ht="18" thickBot="1" x14ac:dyDescent="0.3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8" thickBot="1" x14ac:dyDescent="0.35">
      <c r="A193" s="23" t="s">
        <v>69</v>
      </c>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7.399999999999999"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7.399999999999999" x14ac:dyDescent="0.3">
      <c r="A195" s="1" t="s">
        <v>70</v>
      </c>
      <c r="B195" s="3"/>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8" thickBot="1" x14ac:dyDescent="0.3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8" thickBot="1" x14ac:dyDescent="0.35">
      <c r="A197" s="1" t="s">
        <v>71</v>
      </c>
      <c r="B197" s="3"/>
      <c r="C197" s="3"/>
      <c r="D197" s="3"/>
      <c r="E197" s="3"/>
      <c r="F197" s="4"/>
      <c r="G197" s="4"/>
      <c r="H197" s="360" t="s">
        <v>100</v>
      </c>
      <c r="I197" s="361"/>
      <c r="J197" s="362"/>
      <c r="K197" s="4"/>
      <c r="L197" s="4"/>
      <c r="M197" s="4"/>
      <c r="N197" s="4"/>
      <c r="O197" s="4"/>
      <c r="P197" s="4"/>
      <c r="Q197" s="4"/>
      <c r="R197" s="4"/>
      <c r="S197" s="4"/>
      <c r="T197" s="4"/>
      <c r="U197" s="4"/>
      <c r="V197" s="4"/>
      <c r="W197" s="4"/>
      <c r="X197" s="4"/>
      <c r="Y197" s="4"/>
      <c r="Z197" s="4"/>
    </row>
    <row r="198" spans="1:26" ht="18.600000000000001" thickBot="1" x14ac:dyDescent="0.4">
      <c r="A198" s="4" t="s">
        <v>72</v>
      </c>
      <c r="B198" s="4"/>
      <c r="C198" s="4"/>
      <c r="D198" s="4"/>
      <c r="E198" s="37">
        <f>MAX(L191, M191, N191)</f>
        <v>0.64477650227666261</v>
      </c>
      <c r="F198" s="4"/>
      <c r="G198" s="4"/>
      <c r="H198" s="86" t="s">
        <v>8</v>
      </c>
      <c r="I198" s="87" t="s">
        <v>18</v>
      </c>
      <c r="J198" s="88" t="s">
        <v>9</v>
      </c>
      <c r="K198" s="4"/>
      <c r="L198" s="4"/>
      <c r="M198" s="4"/>
      <c r="N198" s="4"/>
      <c r="O198" s="4"/>
      <c r="P198" s="4"/>
      <c r="Q198" s="4"/>
      <c r="R198" s="4"/>
      <c r="S198" s="4"/>
      <c r="T198" s="4"/>
      <c r="U198" s="4"/>
      <c r="V198" s="4"/>
      <c r="W198" s="4"/>
      <c r="X198" s="4"/>
      <c r="Y198" s="4"/>
      <c r="Z198" s="4"/>
    </row>
    <row r="199" spans="1:26" ht="18" thickBot="1" x14ac:dyDescent="0.35">
      <c r="A199" s="3" t="s">
        <v>73</v>
      </c>
      <c r="B199" s="4"/>
      <c r="C199" s="4"/>
      <c r="D199" s="4"/>
      <c r="E199" s="37">
        <f>E198*0.1</f>
        <v>6.4477650227666258E-2</v>
      </c>
      <c r="F199" s="4"/>
      <c r="G199" s="194" t="s">
        <v>102</v>
      </c>
      <c r="H199" s="190">
        <f>L191</f>
        <v>0.64477650227666261</v>
      </c>
      <c r="I199" s="191">
        <f>N191</f>
        <v>0.61009529162784204</v>
      </c>
      <c r="J199" s="192">
        <f>M191</f>
        <v>0.54215224151611519</v>
      </c>
      <c r="K199" s="4"/>
      <c r="L199" s="4"/>
      <c r="M199" s="4"/>
      <c r="N199" s="4"/>
      <c r="O199" s="4"/>
      <c r="P199" s="4"/>
      <c r="Q199" s="4"/>
      <c r="R199" s="4"/>
      <c r="S199" s="4"/>
      <c r="T199" s="4"/>
      <c r="U199" s="4"/>
      <c r="V199" s="4"/>
      <c r="W199" s="4"/>
      <c r="X199" s="4"/>
      <c r="Y199" s="4"/>
      <c r="Z199" s="4"/>
    </row>
    <row r="200" spans="1:26" ht="17.399999999999999" x14ac:dyDescent="0.3">
      <c r="A200" s="3" t="s">
        <v>74</v>
      </c>
      <c r="B200" s="3"/>
      <c r="C200" s="3"/>
      <c r="D200" s="4"/>
      <c r="E200" s="37">
        <f>E198-E199</f>
        <v>0.58029885204899634</v>
      </c>
      <c r="F200" s="4"/>
      <c r="G200" s="194" t="s">
        <v>105</v>
      </c>
      <c r="H200" s="4"/>
      <c r="I200" s="4"/>
      <c r="J200" s="4"/>
      <c r="K200" s="4"/>
      <c r="L200" s="4"/>
      <c r="M200" s="4"/>
      <c r="N200" s="4"/>
      <c r="O200" s="4"/>
      <c r="P200" s="4"/>
      <c r="Q200" s="4"/>
      <c r="R200" s="4"/>
      <c r="S200" s="4"/>
      <c r="T200" s="4"/>
      <c r="U200" s="4"/>
      <c r="V200" s="4"/>
      <c r="W200" s="4"/>
      <c r="X200" s="4"/>
      <c r="Y200" s="4"/>
      <c r="Z200" s="4"/>
    </row>
    <row r="201" spans="1:26" ht="17.399999999999999" x14ac:dyDescent="0.3">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ht="36" customHeight="1" x14ac:dyDescent="0.3">
      <c r="A202" s="189" t="s">
        <v>104</v>
      </c>
      <c r="B202" s="36"/>
      <c r="C202" s="36"/>
      <c r="D202" s="36"/>
      <c r="E202" s="36"/>
      <c r="F202" s="36"/>
      <c r="G202" s="36"/>
      <c r="H202" s="193"/>
      <c r="I202" s="36"/>
      <c r="J202" s="36"/>
      <c r="K202" s="36"/>
      <c r="L202" s="36"/>
      <c r="M202" s="36"/>
      <c r="N202" s="36"/>
      <c r="O202" s="36"/>
      <c r="P202" s="36"/>
      <c r="Q202" s="36"/>
      <c r="R202" s="36"/>
      <c r="S202" s="36"/>
      <c r="T202" s="36"/>
      <c r="U202" s="36"/>
      <c r="V202" s="36"/>
      <c r="W202" s="36"/>
      <c r="X202" s="36"/>
      <c r="Y202" s="36"/>
      <c r="Z202" s="36"/>
    </row>
    <row r="203" spans="1:26" ht="17.399999999999999" x14ac:dyDescent="0.3">
      <c r="A203" s="89" t="s">
        <v>106</v>
      </c>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7.399999999999999"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7.399999999999999"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7.399999999999999"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7.399999999999999"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7.399999999999999"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7.399999999999999"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7.399999999999999"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7.399999999999999"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7.399999999999999"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7.399999999999999"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7.399999999999999"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7.399999999999999"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7.399999999999999"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7.399999999999999"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7.399999999999999"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7.399999999999999"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7.399999999999999"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7.399999999999999" x14ac:dyDescent="0.3">
      <c r="A221" s="1"/>
      <c r="B221" s="3"/>
      <c r="C221" s="3"/>
      <c r="D221" s="3"/>
      <c r="E221" s="3"/>
      <c r="F221" s="3"/>
      <c r="G221" s="4"/>
      <c r="H221" s="4"/>
      <c r="I221" s="4"/>
      <c r="J221" s="4"/>
      <c r="K221" s="4"/>
      <c r="L221" s="4"/>
      <c r="M221" s="4"/>
      <c r="N221" s="4"/>
      <c r="O221" s="4"/>
      <c r="P221" s="4"/>
      <c r="Q221" s="4"/>
      <c r="R221" s="4"/>
      <c r="S221" s="4"/>
      <c r="T221" s="4"/>
      <c r="U221" s="4"/>
      <c r="V221" s="4"/>
      <c r="W221" s="4"/>
      <c r="X221" s="4"/>
      <c r="Y221" s="4"/>
      <c r="Z221" s="4"/>
    </row>
    <row r="222" spans="1:26" ht="17.399999999999999" x14ac:dyDescent="0.3">
      <c r="A222" s="1"/>
      <c r="B222" s="3"/>
      <c r="C222" s="3"/>
      <c r="D222" s="3"/>
      <c r="E222" s="3"/>
      <c r="F222" s="3"/>
      <c r="G222" s="3"/>
      <c r="H222" s="4"/>
      <c r="I222" s="4"/>
      <c r="J222" s="4"/>
      <c r="K222" s="4"/>
      <c r="L222" s="4"/>
      <c r="M222" s="4"/>
      <c r="N222" s="4"/>
      <c r="O222" s="4"/>
      <c r="P222" s="4"/>
      <c r="Q222" s="4"/>
      <c r="R222" s="4"/>
      <c r="S222" s="4"/>
      <c r="T222" s="4"/>
      <c r="U222" s="4"/>
      <c r="V222" s="4"/>
      <c r="W222" s="4"/>
      <c r="X222" s="4"/>
      <c r="Y222" s="4"/>
      <c r="Z222" s="4"/>
    </row>
    <row r="223" spans="1:26" ht="17.399999999999999"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7.399999999999999"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7.399999999999999"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7.399999999999999"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7.399999999999999"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7.399999999999999"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7.399999999999999"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7.399999999999999"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7.399999999999999"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7.399999999999999"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7.399999999999999"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7.399999999999999"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7.399999999999999"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7.39999999999999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7.399999999999999"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7.399999999999999"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7.399999999999999"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7.399999999999999"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7.399999999999999"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7.399999999999999"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7.399999999999999"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7.399999999999999"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7.399999999999999"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7.399999999999999"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7.399999999999999"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7.399999999999999"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7.399999999999999"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7.399999999999999"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7.399999999999999"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7.399999999999999"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7.399999999999999"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7.399999999999999"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7.39999999999999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7.399999999999999"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7.399999999999999"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7.399999999999999"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7.399999999999999"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7.399999999999999"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7.39999999999999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7.399999999999999"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7.399999999999999"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7.399999999999999"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7.399999999999999"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7.399999999999999"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7.399999999999999"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7.399999999999999"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7.399999999999999"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7.399999999999999"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7.39999999999999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7.39999999999999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7.399999999999999"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7.399999999999999"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7.399999999999999"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7.399999999999999"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7.399999999999999"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7.399999999999999"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7.399999999999999"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7.399999999999999"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7.399999999999999"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7.399999999999999"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7.399999999999999"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7.399999999999999"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7.399999999999999"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7.399999999999999"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7.399999999999999"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7.399999999999999"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7.399999999999999"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7.399999999999999"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7.399999999999999"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7.399999999999999"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7.399999999999999"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7.399999999999999"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7.399999999999999"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7.399999999999999"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7.399999999999999"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7.399999999999999"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7.399999999999999"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7.399999999999999"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7.399999999999999"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7.399999999999999"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7.399999999999999"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7.399999999999999"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7.399999999999999"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7.399999999999999"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7.399999999999999"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7.399999999999999"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7.399999999999999"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7.399999999999999"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7.399999999999999"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7.399999999999999"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7.399999999999999"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7.399999999999999"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7.399999999999999"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7.399999999999999"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7.399999999999999"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7.399999999999999"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7.399999999999999"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7.399999999999999"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7.399999999999999"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7.399999999999999"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7.399999999999999"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7.399999999999999"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7.399999999999999"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7.399999999999999"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7.399999999999999"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7.399999999999999"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7.399999999999999"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7.399999999999999"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7.399999999999999"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7.399999999999999"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7.399999999999999"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7.399999999999999"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7.399999999999999"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7.399999999999999"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7.399999999999999"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7.399999999999999"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7.399999999999999"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7.399999999999999"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7.399999999999999"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7.399999999999999"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7.399999999999999"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7.399999999999999"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7.399999999999999"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7.399999999999999"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7.399999999999999"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7.399999999999999"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7.399999999999999"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7.399999999999999"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7.399999999999999"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7.399999999999999"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7.399999999999999"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7.399999999999999"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7.399999999999999"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7.399999999999999"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7.399999999999999"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7.399999999999999"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7.399999999999999"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7.399999999999999"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7.399999999999999"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7.399999999999999"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7.399999999999999"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7.399999999999999"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7.399999999999999"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7.399999999999999"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7.399999999999999"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7.399999999999999"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7.399999999999999"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7.399999999999999"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7.399999999999999"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7.399999999999999"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7.399999999999999"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7.399999999999999"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7.399999999999999"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7.399999999999999"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7.399999999999999"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7.399999999999999"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7.399999999999999"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7.399999999999999"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7.399999999999999"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7.399999999999999"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7.399999999999999"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7.399999999999999"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7.399999999999999"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7.399999999999999"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7.399999999999999"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7.399999999999999"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7.399999999999999"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7.399999999999999"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7.399999999999999"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7.399999999999999"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7.399999999999999"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7.399999999999999"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7.399999999999999"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7.399999999999999"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7.399999999999999"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7.399999999999999"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7.399999999999999"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7.399999999999999"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7.399999999999999"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7.399999999999999"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7.399999999999999"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7.399999999999999"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7.399999999999999"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7.399999999999999"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7.399999999999999"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7.399999999999999"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7.399999999999999"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7.399999999999999"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7.399999999999999"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7.399999999999999"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7.399999999999999"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7.399999999999999"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7.399999999999999"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7.399999999999999"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7.399999999999999"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7.399999999999999"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7.399999999999999"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7.399999999999999"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7.399999999999999"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7.399999999999999"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7.399999999999999"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7.399999999999999"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7.399999999999999"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7.399999999999999"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7.399999999999999"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7.399999999999999"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7.399999999999999"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7.399999999999999"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7.399999999999999"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7.399999999999999"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7.399999999999999"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7.399999999999999"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7.399999999999999"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7.399999999999999"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7.399999999999999"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7.399999999999999"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7.399999999999999"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7.399999999999999"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7.399999999999999"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7.399999999999999"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7.399999999999999"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7.399999999999999"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7.399999999999999"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7.399999999999999"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7.399999999999999"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7.399999999999999"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7.399999999999999"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7.399999999999999"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7.399999999999999"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7.399999999999999"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7.399999999999999"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7.399999999999999"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7.399999999999999"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7.399999999999999"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7.399999999999999"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7.399999999999999"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7.399999999999999"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7.399999999999999"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7.399999999999999"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7.399999999999999"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7.399999999999999"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7.399999999999999"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7.399999999999999"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7.399999999999999"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7.399999999999999"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7.399999999999999"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7.399999999999999"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7.399999999999999"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7.399999999999999"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7.399999999999999"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7.399999999999999"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7.399999999999999"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7.399999999999999"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7.399999999999999"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7.399999999999999"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7.399999999999999"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7.399999999999999"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7.399999999999999"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7.399999999999999"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7.399999999999999"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7.399999999999999"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7.399999999999999"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7.399999999999999"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7.399999999999999"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7.399999999999999"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7.399999999999999"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7.399999999999999"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7.399999999999999"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7.399999999999999"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7.399999999999999"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7.399999999999999"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7.399999999999999"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7.399999999999999"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7.399999999999999"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7.399999999999999"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7.399999999999999"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7.399999999999999"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7.399999999999999"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7.399999999999999"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7.399999999999999"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7.399999999999999"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7.399999999999999"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7.399999999999999"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7.399999999999999"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7.399999999999999"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7.399999999999999"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7.399999999999999"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7.399999999999999"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7.399999999999999"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7.399999999999999"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7.399999999999999"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7.399999999999999"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7.399999999999999"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7.399999999999999"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7.399999999999999"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7.399999999999999"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7.399999999999999"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7.399999999999999"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7.399999999999999"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7.399999999999999"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7.399999999999999"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7.399999999999999"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7.399999999999999"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7.399999999999999"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7.399999999999999"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7.399999999999999"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7.399999999999999"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7.399999999999999"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7.399999999999999"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7.399999999999999"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7.399999999999999"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7.399999999999999"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7.399999999999999"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7.399999999999999"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7.399999999999999"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7.399999999999999"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7.399999999999999"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7.399999999999999"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7.399999999999999"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7.399999999999999"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7.399999999999999"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7.399999999999999"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7.399999999999999"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7.399999999999999"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7.399999999999999"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7.399999999999999"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7.399999999999999"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7.399999999999999"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7.399999999999999"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7.399999999999999"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7.399999999999999"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7.399999999999999"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7.399999999999999"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7.399999999999999"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7.399999999999999"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7.399999999999999"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7.399999999999999"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7.399999999999999"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7.399999999999999"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7.399999999999999"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7.399999999999999"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7.399999999999999"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7.399999999999999"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7.399999999999999"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7.399999999999999"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7.399999999999999"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7.399999999999999"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7.399999999999999"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7.399999999999999"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7.399999999999999"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7.399999999999999"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7.399999999999999"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7.399999999999999"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7.399999999999999"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7.399999999999999"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7.399999999999999"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7.399999999999999"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7.399999999999999"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7.399999999999999"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7.399999999999999"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7.399999999999999"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7.399999999999999"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7.399999999999999"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7.399999999999999"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7.399999999999999"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7.399999999999999"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7.399999999999999"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7.399999999999999"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7.399999999999999"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7.399999999999999"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7.399999999999999"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7.399999999999999"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7.399999999999999"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7.399999999999999"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7.399999999999999"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7.399999999999999"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7.399999999999999"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7.399999999999999"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7.399999999999999"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7.399999999999999"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7.399999999999999"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7.399999999999999"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7.399999999999999"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7.399999999999999"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7.399999999999999"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7.399999999999999"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7.399999999999999"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7.399999999999999"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7.399999999999999"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7.399999999999999"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7.399999999999999"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7.399999999999999"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7.399999999999999"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7.399999999999999"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7.399999999999999"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7.399999999999999"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7.399999999999999"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7.399999999999999"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7.399999999999999"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7.399999999999999"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7.399999999999999"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7.399999999999999"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7.399999999999999"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7.399999999999999"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7.399999999999999"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7.399999999999999"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7.399999999999999"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7.399999999999999"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7.399999999999999"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7.399999999999999"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7.399999999999999"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7.399999999999999"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7.399999999999999"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7.399999999999999"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7.399999999999999"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7.399999999999999"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7.399999999999999"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7.399999999999999"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7.399999999999999"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7.399999999999999"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7.399999999999999"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7.399999999999999"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7.399999999999999"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7.399999999999999"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7.399999999999999"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7.399999999999999"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7.399999999999999"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7.399999999999999"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7.399999999999999"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7.399999999999999"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7.399999999999999"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7.399999999999999"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7.399999999999999"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7.399999999999999"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7.399999999999999"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7.399999999999999"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7.399999999999999"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7.399999999999999"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7.399999999999999"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7.399999999999999"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7.399999999999999"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7.399999999999999"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7.399999999999999"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7.399999999999999"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7.399999999999999"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7.399999999999999"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7.399999999999999"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7.399999999999999"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7.399999999999999"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7.399999999999999"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7.399999999999999"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7.399999999999999"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7.399999999999999"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7.399999999999999"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7.399999999999999"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7.399999999999999"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7.399999999999999"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7.399999999999999"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7.399999999999999"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7.399999999999999"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7.399999999999999"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7.399999999999999"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7.399999999999999"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7.399999999999999"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7.399999999999999"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7.399999999999999"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7.399999999999999"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7.399999999999999"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7.399999999999999"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7.399999999999999"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7.399999999999999"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7.399999999999999"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7.399999999999999"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7.399999999999999"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7.399999999999999"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7.399999999999999"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7.399999999999999"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7.399999999999999"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7.399999999999999"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7.399999999999999"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7.399999999999999"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7.399999999999999"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7.399999999999999"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7.399999999999999"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7.399999999999999"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7.399999999999999"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7.399999999999999"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7.399999999999999"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7.399999999999999"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7.399999999999999"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7.399999999999999"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7.399999999999999"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7.399999999999999"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7.399999999999999"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7.399999999999999"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7.399999999999999"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7.399999999999999"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7.399999999999999"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7.399999999999999"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7.399999999999999"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7.399999999999999"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7.399999999999999"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7.399999999999999"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7.399999999999999"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7.399999999999999"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7.399999999999999"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7.399999999999999"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7.399999999999999"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7.399999999999999"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7.399999999999999"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7.399999999999999"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7.399999999999999"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7.399999999999999"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7.399999999999999"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7.399999999999999"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7.399999999999999"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7.399999999999999"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7.399999999999999"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7.399999999999999"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7.399999999999999"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7.399999999999999"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7.399999999999999"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7.399999999999999"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7.399999999999999"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7.399999999999999"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7.399999999999999"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7.399999999999999"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7.399999999999999"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7.399999999999999"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7.399999999999999"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7.399999999999999"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7.399999999999999"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7.399999999999999"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7.399999999999999"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7.399999999999999"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7.399999999999999"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7.399999999999999"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7.399999999999999"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7.399999999999999"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7.399999999999999"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7.399999999999999"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7.399999999999999"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7.399999999999999"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7.399999999999999"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7.399999999999999"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7.399999999999999"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7.399999999999999"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7.399999999999999"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7.399999999999999"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7.399999999999999"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7.399999999999999"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7.399999999999999"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7.399999999999999"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7.399999999999999"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7.399999999999999"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7.399999999999999"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7.399999999999999"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7.399999999999999"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7.399999999999999"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7.399999999999999"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7.399999999999999"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7.399999999999999"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7.399999999999999"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7.399999999999999"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7.399999999999999"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7.399999999999999"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7.399999999999999"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7.399999999999999"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7.399999999999999"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7.399999999999999"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7.399999999999999"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7.399999999999999"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7.399999999999999"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7.399999999999999"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7.399999999999999"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7.399999999999999"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7.399999999999999"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7.399999999999999"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7.399999999999999"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7.399999999999999"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7.399999999999999"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7.399999999999999"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7.399999999999999"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7.399999999999999"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7.399999999999999"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7.399999999999999"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7.399999999999999"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7.399999999999999"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7.399999999999999"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7.399999999999999"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7.399999999999999"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7.399999999999999"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7.399999999999999"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7.399999999999999"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7.399999999999999"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7.399999999999999"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7.399999999999999"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7.399999999999999"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7.399999999999999"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7.399999999999999"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7.399999999999999"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7.399999999999999"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7.399999999999999"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7.399999999999999"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7.399999999999999"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7.399999999999999"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7.399999999999999"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7.399999999999999"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7.399999999999999"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7.399999999999999"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7.399999999999999"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7.399999999999999"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7.399999999999999"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7.399999999999999"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7.399999999999999"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7.399999999999999"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7.399999999999999"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7.399999999999999"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7.399999999999999"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7.399999999999999"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7.399999999999999"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7.399999999999999"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7.399999999999999"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7.399999999999999"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7.399999999999999"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7.399999999999999"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7.399999999999999"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7.399999999999999"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7.399999999999999"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7.399999999999999"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7.399999999999999"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7.399999999999999"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7.399999999999999"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7.399999999999999"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7.399999999999999"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7.399999999999999"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7.399999999999999"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7.399999999999999"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7.399999999999999"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7.399999999999999"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7.399999999999999"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7.399999999999999"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7.399999999999999"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7.399999999999999"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7.399999999999999"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7.399999999999999"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7.399999999999999"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7.399999999999999"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7.399999999999999"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7.399999999999999"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7.399999999999999"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7.399999999999999"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7.399999999999999"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7.399999999999999"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7.399999999999999"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7.399999999999999"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7.399999999999999"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7.399999999999999"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7.399999999999999"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7.399999999999999"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7.399999999999999"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7.399999999999999"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7.399999999999999"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7.399999999999999"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7.399999999999999"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7.399999999999999"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7.399999999999999"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7.399999999999999"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7.399999999999999"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7.399999999999999"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7.399999999999999"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7.399999999999999"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7.399999999999999"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7.399999999999999"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7.399999999999999"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7.399999999999999"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7.399999999999999"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7.399999999999999"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7.399999999999999"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7.399999999999999"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7.399999999999999"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7.399999999999999"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7.399999999999999"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7.399999999999999"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7.399999999999999"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7.399999999999999"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7.399999999999999"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7.399999999999999"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7.399999999999999"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7.399999999999999"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7.399999999999999"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7.399999999999999"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7.399999999999999"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7.399999999999999"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7.399999999999999"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7.399999999999999"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7.399999999999999"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7.399999999999999"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7.399999999999999"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7.399999999999999"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7.399999999999999"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7.399999999999999"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7.399999999999999"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7.399999999999999"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7.399999999999999"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7.399999999999999"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7.399999999999999"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7.399999999999999"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7.399999999999999"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7.399999999999999"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7.399999999999999"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7.399999999999999"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7.399999999999999"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7.399999999999999"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7.399999999999999"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7.399999999999999"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7.399999999999999"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7.399999999999999"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7.399999999999999"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7.399999999999999"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7.399999999999999"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7.399999999999999"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7.399999999999999"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7.399999999999999"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7.399999999999999"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7.399999999999999"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7.399999999999999"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7.399999999999999"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7.399999999999999"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7.399999999999999"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7.399999999999999"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7.399999999999999"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7.399999999999999"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7.399999999999999"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sheetData>
  <mergeCells count="14">
    <mergeCell ref="H197:J197"/>
    <mergeCell ref="H44:J44"/>
    <mergeCell ref="H123:J123"/>
    <mergeCell ref="H109:J109"/>
    <mergeCell ref="H163:J163"/>
    <mergeCell ref="H181:J181"/>
    <mergeCell ref="L181:N181"/>
    <mergeCell ref="C8:E8"/>
    <mergeCell ref="C30:E30"/>
    <mergeCell ref="C44:E44"/>
    <mergeCell ref="C109:E109"/>
    <mergeCell ref="C123:E123"/>
    <mergeCell ref="C163:E163"/>
    <mergeCell ref="C181:E181"/>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vt:lpstr>
      <vt:lpstr>KKeeton</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Kassandra Keeton</cp:lastModifiedBy>
  <dcterms:created xsi:type="dcterms:W3CDTF">2018-06-25T20:56:45Z</dcterms:created>
  <dcterms:modified xsi:type="dcterms:W3CDTF">2025-03-02T20:52:40Z</dcterms:modified>
</cp:coreProperties>
</file>