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showInkAnnotation="0" autoCompressPictures="0"/>
  <mc:AlternateContent xmlns:mc="http://schemas.openxmlformats.org/markup-compatibility/2006">
    <mc:Choice Requires="x15">
      <x15ac:absPath xmlns:x15ac="http://schemas.microsoft.com/office/spreadsheetml/2010/11/ac" url="J:\My Drive\Training\eCornell\Systems Design\CESYS527 - ID and Eval Risk\Final Project\"/>
    </mc:Choice>
  </mc:AlternateContent>
  <xr:revisionPtr revIDLastSave="0" documentId="13_ncr:1_{58408BC5-A9F6-4E2C-954F-0CCD8BE76A87}" xr6:coauthVersionLast="47" xr6:coauthVersionMax="47" xr10:uidLastSave="{00000000-0000-0000-0000-000000000000}"/>
  <bookViews>
    <workbookView xWindow="-28920" yWindow="-120" windowWidth="29040" windowHeight="16440" tabRatio="500" activeTab="4" xr2:uid="{00000000-000D-0000-FFFF-FFFF00000000}"/>
  </bookViews>
  <sheets>
    <sheet name="Instructions" sheetId="1" r:id="rId1"/>
    <sheet name="Sample" sheetId="2" r:id="rId2"/>
    <sheet name="Template" sheetId="3" r:id="rId3"/>
    <sheet name="Rating Systems" sheetId="4" r:id="rId4"/>
    <sheet name="Plant-n-Search"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V36" i="5" l="1"/>
  <c r="V35" i="5"/>
  <c r="V34" i="5"/>
  <c r="V33" i="5"/>
  <c r="V32" i="5"/>
  <c r="U36" i="5"/>
  <c r="U35" i="5"/>
  <c r="U34" i="5"/>
  <c r="U33" i="5"/>
  <c r="U32" i="5"/>
  <c r="T36" i="5"/>
  <c r="T35" i="5"/>
  <c r="T34" i="5"/>
  <c r="T33" i="5"/>
  <c r="T32" i="5"/>
  <c r="L36" i="5"/>
  <c r="S36" i="5"/>
  <c r="S35" i="5"/>
  <c r="S34" i="5"/>
  <c r="S33" i="5"/>
  <c r="S32" i="5"/>
  <c r="O28" i="5" a="1"/>
  <c r="O28" i="5" s="1"/>
  <c r="O27" i="5" a="1"/>
  <c r="O27" i="5" s="1"/>
  <c r="O26" i="5" a="1"/>
  <c r="O26" i="5" s="1"/>
  <c r="O24" i="5" a="1"/>
  <c r="O24" i="5" s="1"/>
  <c r="O23" i="5" a="1"/>
  <c r="O23" i="5" s="1"/>
  <c r="O22" i="5" a="1"/>
  <c r="O22" i="5" s="1"/>
  <c r="O21" i="5" a="1"/>
  <c r="O21" i="5" s="1"/>
  <c r="O20" i="5" a="1"/>
  <c r="O20" i="5" s="1"/>
  <c r="O19" i="5" a="1"/>
  <c r="O19" i="5" s="1"/>
  <c r="O17" i="5" a="1"/>
  <c r="O17" i="5" s="1"/>
  <c r="O16" i="5" a="1"/>
  <c r="O16" i="5" s="1"/>
  <c r="O15" i="5" a="1"/>
  <c r="O15" i="5" s="1"/>
  <c r="O14" i="5" a="1"/>
  <c r="O14" i="5" s="1"/>
  <c r="O13" i="5" a="1"/>
  <c r="O13" i="5" s="1"/>
  <c r="O12" i="5" a="1"/>
  <c r="O12" i="5" s="1"/>
  <c r="O11" i="5" a="1"/>
  <c r="O11" i="5" s="1"/>
  <c r="O7" i="5" a="1"/>
  <c r="O7" i="5" s="1"/>
  <c r="O6" i="5" a="1"/>
  <c r="O6" i="5" s="1"/>
  <c r="O4" i="5" a="1"/>
  <c r="O4" i="5" s="1"/>
  <c r="I2" i="5" a="1"/>
  <c r="I2" i="5" s="1"/>
  <c r="I3" i="5" a="1"/>
  <c r="I3" i="5" s="1"/>
  <c r="I4" i="5" a="1"/>
  <c r="I4" i="5" s="1"/>
  <c r="I5" i="5" a="1"/>
  <c r="I5" i="5" s="1"/>
  <c r="I6" i="5" a="1"/>
  <c r="I6" i="5" s="1"/>
  <c r="I7" i="5" a="1"/>
  <c r="I7" i="5" s="1"/>
  <c r="I8" i="5" a="1"/>
  <c r="I8" i="5" s="1"/>
  <c r="I9" i="5" a="1"/>
  <c r="I9" i="5" s="1"/>
  <c r="I10" i="5" a="1"/>
  <c r="I10" i="5" s="1"/>
  <c r="I11" i="5" a="1"/>
  <c r="I11" i="5" s="1"/>
  <c r="I12" i="5" a="1"/>
  <c r="I12" i="5" s="1"/>
  <c r="I13" i="5" a="1"/>
  <c r="I13" i="5" s="1"/>
  <c r="I14" i="5" a="1"/>
  <c r="I14" i="5" s="1"/>
  <c r="I15" i="5" a="1"/>
  <c r="I15" i="5" s="1"/>
  <c r="I16" i="5" a="1"/>
  <c r="I16" i="5" s="1"/>
  <c r="I17" i="5" a="1"/>
  <c r="I17" i="5" s="1"/>
  <c r="I18" i="5" a="1"/>
  <c r="I18" i="5" s="1"/>
  <c r="I19" i="5" a="1"/>
  <c r="I19" i="5" s="1"/>
  <c r="I20" i="5" a="1"/>
  <c r="I20" i="5" s="1"/>
  <c r="I21" i="5" a="1"/>
  <c r="I21" i="5" s="1"/>
  <c r="I22" i="5" a="1"/>
  <c r="I22" i="5" s="1"/>
  <c r="I23" i="5" a="1"/>
  <c r="I23" i="5" s="1"/>
  <c r="I24" i="5" a="1"/>
  <c r="I24" i="5" s="1"/>
  <c r="I25" i="5" a="1"/>
  <c r="I25" i="5" s="1"/>
  <c r="I26" i="5" a="1"/>
  <c r="I26" i="5" s="1"/>
  <c r="I27" i="5" a="1"/>
  <c r="I27" i="5" s="1"/>
  <c r="I28" i="5" a="1"/>
  <c r="I28" i="5" s="1"/>
  <c r="I29" i="5" a="1"/>
  <c r="I29" i="5" s="1"/>
  <c r="O36" i="5"/>
  <c r="O35" i="5"/>
  <c r="O34" i="5"/>
  <c r="O33" i="5"/>
  <c r="O32" i="5"/>
  <c r="N36" i="5"/>
  <c r="N35" i="5"/>
  <c r="N34" i="5"/>
  <c r="N33" i="5"/>
  <c r="N32" i="5"/>
  <c r="M36" i="5"/>
  <c r="M35" i="5"/>
  <c r="M34" i="5"/>
  <c r="L35" i="5"/>
  <c r="L34" i="5"/>
  <c r="L33" i="5"/>
  <c r="L32" i="5"/>
  <c r="M32" i="5"/>
  <c r="M33" i="5"/>
  <c r="E36" i="5"/>
  <c r="E35" i="5"/>
  <c r="E34" i="5"/>
  <c r="E33" i="5"/>
  <c r="E32" i="5"/>
  <c r="F36" i="5"/>
  <c r="F35" i="5"/>
  <c r="F34" i="5"/>
  <c r="F33" i="5"/>
  <c r="F32" i="5"/>
  <c r="G32" i="5"/>
  <c r="G33" i="5"/>
  <c r="G34" i="5"/>
  <c r="G36" i="5"/>
  <c r="G35" i="5"/>
  <c r="H36" i="5"/>
  <c r="H35" i="5"/>
  <c r="H34" i="5"/>
  <c r="H33" i="5"/>
  <c r="H32" i="5"/>
  <c r="V12" i="5" a="1"/>
  <c r="V12" i="5"/>
  <c r="V11" i="5" a="1"/>
  <c r="V11" i="5" s="1"/>
  <c r="V10" i="5" a="1"/>
  <c r="V10" i="5" s="1"/>
  <c r="V8" i="5" a="1"/>
  <c r="V8" i="5"/>
  <c r="V7" i="5" a="1"/>
  <c r="V7" i="5" s="1"/>
  <c r="V6" i="5" a="1"/>
  <c r="V6" i="5" s="1"/>
  <c r="V5" i="5" a="1"/>
  <c r="V5" i="5" s="1"/>
  <c r="V4" i="5" a="1"/>
  <c r="V4" i="5"/>
  <c r="V3" i="5" a="1"/>
  <c r="V3" i="5" s="1"/>
  <c r="V14" i="5" a="1"/>
  <c r="V14" i="5" s="1"/>
  <c r="V15" i="5" a="1"/>
  <c r="V15" i="5" s="1"/>
  <c r="V13" i="5" a="1"/>
  <c r="V13" i="5" s="1"/>
  <c r="U13" i="5"/>
  <c r="U3" i="5"/>
  <c r="U4" i="5"/>
  <c r="U5" i="5"/>
  <c r="U6" i="5"/>
  <c r="U7" i="5"/>
  <c r="U8" i="5"/>
  <c r="U9" i="5"/>
  <c r="V9" i="5" s="1" a="1"/>
  <c r="V9" i="5" s="1"/>
  <c r="U10" i="5"/>
  <c r="U11" i="5"/>
  <c r="U12" i="5"/>
  <c r="U14" i="5"/>
  <c r="U15" i="5"/>
  <c r="U16" i="5"/>
  <c r="U17" i="5"/>
  <c r="U18" i="5"/>
  <c r="U19" i="5"/>
  <c r="U20" i="5"/>
  <c r="U21" i="5"/>
  <c r="U22" i="5"/>
  <c r="U23" i="5"/>
  <c r="U24" i="5"/>
  <c r="U25" i="5"/>
  <c r="U26" i="5"/>
  <c r="U27" i="5"/>
  <c r="U28" i="5"/>
  <c r="U2" i="5"/>
  <c r="V2" i="5" s="1" a="1"/>
  <c r="V2" i="5" s="1"/>
  <c r="N3" i="5"/>
  <c r="O3" i="5" s="1" a="1"/>
  <c r="O3" i="5" s="1"/>
  <c r="N4" i="5"/>
  <c r="N6" i="5"/>
  <c r="N7" i="5"/>
  <c r="N8" i="5"/>
  <c r="O8" i="5" s="1" a="1"/>
  <c r="O8" i="5" s="1"/>
  <c r="N9" i="5"/>
  <c r="O9" i="5" s="1" a="1"/>
  <c r="O9" i="5" s="1"/>
  <c r="N10" i="5"/>
  <c r="O10" i="5" s="1" a="1"/>
  <c r="O10" i="5" s="1"/>
  <c r="N11" i="5"/>
  <c r="N12" i="5"/>
  <c r="N13" i="5"/>
  <c r="N14" i="5"/>
  <c r="N15" i="5"/>
  <c r="N16" i="5"/>
  <c r="N17" i="5"/>
  <c r="N18" i="5"/>
  <c r="O18" i="5" s="1" a="1"/>
  <c r="O18" i="5" s="1"/>
  <c r="N19" i="5"/>
  <c r="N20" i="5"/>
  <c r="N21" i="5"/>
  <c r="N22" i="5"/>
  <c r="N23" i="5"/>
  <c r="N24" i="5"/>
  <c r="N25" i="5"/>
  <c r="O25" i="5" s="1" a="1"/>
  <c r="O25" i="5" s="1"/>
  <c r="N26" i="5"/>
  <c r="N27" i="5"/>
  <c r="N28" i="5"/>
  <c r="N29" i="5"/>
  <c r="N2" i="5"/>
  <c r="O2" i="5" s="1" a="1"/>
  <c r="O2" i="5" s="1"/>
  <c r="H2" i="5"/>
  <c r="H4" i="5"/>
  <c r="H5" i="5"/>
  <c r="H6" i="5"/>
  <c r="H7" i="5"/>
  <c r="H8" i="5"/>
  <c r="H9" i="5"/>
  <c r="H10" i="5"/>
  <c r="H11" i="5"/>
  <c r="H12" i="5"/>
  <c r="H13" i="5"/>
  <c r="H14" i="5"/>
  <c r="H15" i="5"/>
  <c r="H16" i="5"/>
  <c r="H17" i="5"/>
  <c r="H18" i="5"/>
  <c r="H19" i="5"/>
  <c r="H20" i="5"/>
  <c r="H21" i="5"/>
  <c r="H22" i="5"/>
  <c r="H23" i="5"/>
  <c r="H24" i="5"/>
  <c r="H25" i="5"/>
  <c r="H26" i="5"/>
  <c r="H27" i="5"/>
  <c r="H28" i="5"/>
  <c r="H29" i="5"/>
  <c r="H3" i="5"/>
  <c r="E22" i="4"/>
  <c r="D22" i="4"/>
  <c r="C22" i="4"/>
  <c r="B22" i="4"/>
  <c r="E21" i="4"/>
  <c r="D21" i="4"/>
  <c r="C21" i="4"/>
  <c r="B21" i="4"/>
  <c r="E20" i="4"/>
  <c r="D20" i="4"/>
  <c r="C20" i="4"/>
  <c r="B20" i="4"/>
  <c r="E19" i="4"/>
  <c r="D19" i="4"/>
  <c r="C19" i="4"/>
  <c r="B19" i="4"/>
  <c r="E18" i="4"/>
  <c r="D18" i="4"/>
  <c r="C18" i="4"/>
  <c r="B18" i="4"/>
  <c r="U15" i="2"/>
  <c r="S15" i="2"/>
  <c r="U14" i="2"/>
  <c r="S14" i="2"/>
  <c r="V13" i="2"/>
  <c r="U13" i="2"/>
  <c r="T13" i="2"/>
  <c r="S13" i="2"/>
  <c r="U12" i="2"/>
  <c r="S12" i="2"/>
  <c r="U11" i="2"/>
  <c r="S11" i="2"/>
  <c r="N15" i="2"/>
  <c r="L15" i="2"/>
  <c r="N14" i="2"/>
  <c r="L14" i="2"/>
  <c r="O13" i="2"/>
  <c r="N13" i="2"/>
  <c r="M13" i="2"/>
  <c r="L13" i="2"/>
  <c r="N12" i="2"/>
  <c r="L12" i="2"/>
  <c r="N11" i="2"/>
  <c r="L11" i="2"/>
  <c r="F11" i="2"/>
  <c r="H11" i="2"/>
  <c r="F12" i="2"/>
  <c r="H12" i="2"/>
  <c r="F13" i="2"/>
  <c r="G13" i="2"/>
  <c r="H13" i="2"/>
  <c r="I13" i="2"/>
  <c r="F14" i="2"/>
  <c r="H14" i="2"/>
  <c r="F15" i="2"/>
  <c r="H15" i="2"/>
  <c r="I15" i="2"/>
  <c r="O29" i="5" l="1" a="1"/>
  <c r="O29"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<sst xmlns="http://schemas.openxmlformats.org/spreadsheetml/2006/main" count="257" uniqueCount="162">
  <si>
    <t xml:space="preserve">Risk Priority Number (RPN) (=severity * occurrence) </t>
  </si>
  <si>
    <t xml:space="preserve">Risk Criticality (Corrective Action Priority) </t>
  </si>
  <si>
    <t xml:space="preserve">Risk Priority Number (RPN) </t>
  </si>
  <si>
    <t>Occurs between once every 2 weeks to once every 3 months</t>
    <phoneticPr fontId="16" type="noConversion"/>
  </si>
  <si>
    <t>Demand incorrectly larger than necessary, Energy usage is larger than necessary, Bicycle goes far faster than desired</t>
  </si>
  <si>
    <t>Add a shielding cone to the detector. Add a sweep to the emitter just before it passes the detector to help clear off the emitter. Increase the intensity of the emitter. Research more robust parts. Put in a redundant encoder and adjust sensor filter system to account for this redundancy. Ensure manual override system is functioning properly.</t>
    <phoneticPr fontId="16" type="noConversion"/>
  </si>
  <si>
    <t>Increase the robustness of the mechanical housing. Include checking its secureness as part of the recommended start up safety check. Put in a redundant encoder and adjust sensor filter system to account for this redundancy</t>
    <phoneticPr fontId="16" type="noConversion"/>
  </si>
  <si>
    <t>Increase the robustness of the mechanical housing to take stress of cable connections</t>
    <phoneticPr fontId="16" type="noConversion"/>
  </si>
  <si>
    <t>Demand incorrectly smaller than necessary, Energy storage is conserved or even increased more than it should be, Bicycle goes far slower than desired</t>
    <phoneticPr fontId="16" type="noConversion"/>
  </si>
  <si>
    <t>Sensor Filter System reports error. Demand Algorithm reports error. Controller switches to energy storage only, no usage. GUI reports error. Bicycle functions inefficiently until user disengages PMB engine</t>
    <phoneticPr fontId="16" type="noConversion"/>
  </si>
  <si>
    <r>
      <t>Likelihood (</t>
    </r>
    <r>
      <rPr>
        <i/>
        <sz val="11"/>
        <color indexed="8"/>
        <rFont val="Arial"/>
        <family val="2"/>
      </rPr>
      <t>in prototype development: all these levels would be too often for a final product</t>
    </r>
    <r>
      <rPr>
        <b/>
        <sz val="11"/>
        <color indexed="8"/>
        <rFont val="Arial"/>
        <family val="2"/>
      </rPr>
      <t>)</t>
    </r>
  </si>
  <si>
    <t xml:space="preserve">In the next two tabs you can find a Failure Mode and Effects Analysis (FMEA) template and a completed FMEA. Follow the instructions laid out in the activities in the course to complete your own FMEA and assess the risk of failure of your system, as well as corrective actions to be taken. Use the Sample tab to help you through the process.
The Rating Systems tab contains a rating system for likelihood and severity, as well as an RPN definition table. These ratings systems will need to be customized for your system.
</t>
    <phoneticPr fontId="16" type="noConversion"/>
  </si>
  <si>
    <t xml:space="preserve">Possible Cause </t>
  </si>
  <si>
    <t xml:space="preserve">Failure Effects Severity </t>
  </si>
  <si>
    <t xml:space="preserve">Occurrence Likelihood  </t>
  </si>
  <si>
    <t>Reported number of rotations from the IR sensor is too many</t>
  </si>
  <si>
    <t>F.2</t>
  </si>
  <si>
    <t xml:space="preserve">Criticality (Corrective Action Priority) </t>
  </si>
  <si>
    <t>Severity</t>
  </si>
  <si>
    <t>Occurs greater than once a week, Occurs in greater than 10% of the operations</t>
  </si>
  <si>
    <t>Occurs greater than once a week, Occurs in 5-10% of the operations</t>
  </si>
  <si>
    <t>Occurs no more than once a week</t>
  </si>
  <si>
    <t>Occurs less than once every 3 months</t>
  </si>
  <si>
    <t>Risk Priority Number (RPN) Definition Table</t>
  </si>
  <si>
    <t>Risk Criticality Ranges</t>
  </si>
  <si>
    <t>Likelihood</t>
  </si>
  <si>
    <t>15-20</t>
  </si>
  <si>
    <t>High Risk</t>
  </si>
  <si>
    <t>9-14</t>
  </si>
  <si>
    <t>Medium High Risk</t>
  </si>
  <si>
    <t>5-8</t>
  </si>
  <si>
    <t>Medium Risk</t>
  </si>
  <si>
    <t>3-4</t>
  </si>
  <si>
    <t>Medium Low Risk</t>
  </si>
  <si>
    <t>1-2</t>
  </si>
  <si>
    <t>Low Risk</t>
  </si>
  <si>
    <t>Cost is more than 20% of the total budget
Requires more than 2 weeks to address
Performance is adversely affected by greater than 20%
Causes potential harm to a person</t>
  </si>
  <si>
    <t>Cost is 10%-20% of the total budget
Requires 1-2 weeks to address
Performance is adversely affected by 10-20%
No harm to a person</t>
  </si>
  <si>
    <t>Cost is 5%-10% of the total budget
Requires 1-6 days to address
Performance is adversely affected by 5-10%
No harm to a person</t>
  </si>
  <si>
    <t>Cost is less than 5% of the total budget
Requires less than 1 day to address
Performance is adversely affected by less than 5%
No harm to a person</t>
  </si>
  <si>
    <t>Current # of Risks Shown Stoplight Graph</t>
  </si>
  <si>
    <t>MEDIUM HIGH</t>
  </si>
  <si>
    <t>sensor detector or emitter has become loose or is no longer oriented properly</t>
  </si>
  <si>
    <t>Research more robust parts. Put in a redundant encoder and adjust sensor filter system to account for this redundancy. Ensure manual override system is functioning properly.</t>
  </si>
  <si>
    <t>sensor detector or emitter is damaged</t>
  </si>
  <si>
    <t>10 hrs. (See Timeline's IR Sensor Risk Plan E)</t>
  </si>
  <si>
    <t>Use COTS Encoder. Put in a redundant encoder and adjust sensor filter system to account for this redundancy. Ensure manual override system is functioning properly.</t>
  </si>
  <si>
    <t>15 hrs. (See Timeline's IR Sensor Risk Plan B)</t>
  </si>
  <si>
    <t>HIGH</t>
  </si>
  <si>
    <t>sensor detector or emitter is partially blocked or damaged,</t>
  </si>
  <si>
    <t>12 hrs. (See Timeline's IR Sensor Risk Plan B and Plan C)</t>
  </si>
  <si>
    <t>Reported number of rotations from the IR sensor is too few</t>
  </si>
  <si>
    <t>IR Sensor Encoder</t>
  </si>
  <si>
    <r>
      <t>F.1</t>
    </r>
    <r>
      <rPr>
        <sz val="10"/>
        <color indexed="8"/>
        <rFont val="Arial"/>
      </rPr>
      <t xml:space="preserve"> </t>
    </r>
  </si>
  <si>
    <t>Troubleshooting (optional)</t>
  </si>
  <si>
    <t>Corrective Action Effort</t>
  </si>
  <si>
    <r>
      <t>Criticality (Corrective Action Priority)</t>
    </r>
    <r>
      <rPr>
        <sz val="10"/>
        <color indexed="8"/>
        <rFont val="Arial"/>
      </rPr>
      <t xml:space="preserve"> </t>
    </r>
  </si>
  <si>
    <r>
      <t>Risk Priority Number (RPN)</t>
    </r>
    <r>
      <rPr>
        <sz val="10"/>
        <color indexed="8"/>
        <rFont val="Arial"/>
      </rPr>
      <t xml:space="preserve"> </t>
    </r>
  </si>
  <si>
    <t xml:space="preserve">Occurrence Likelihood </t>
  </si>
  <si>
    <r>
      <t>Failure Effects Severity</t>
    </r>
    <r>
      <rPr>
        <sz val="10"/>
        <color indexed="8"/>
        <rFont val="Arial"/>
      </rPr>
      <t xml:space="preserve"> </t>
    </r>
  </si>
  <si>
    <t xml:space="preserve">Corrective Action  </t>
  </si>
  <si>
    <r>
      <t>Risk Criticality (Corrective Action Priority)</t>
    </r>
    <r>
      <rPr>
        <sz val="10"/>
        <color indexed="8"/>
        <rFont val="Arial"/>
      </rPr>
      <t xml:space="preserve"> </t>
    </r>
  </si>
  <si>
    <r>
      <t>Risk Priority Number (RPN) (=severity * occurrence)</t>
    </r>
    <r>
      <rPr>
        <sz val="10"/>
        <color indexed="8"/>
        <rFont val="Arial"/>
      </rPr>
      <t xml:space="preserve"> </t>
    </r>
  </si>
  <si>
    <r>
      <t xml:space="preserve">Occurrence Likelihood </t>
    </r>
    <r>
      <rPr>
        <sz val="10"/>
        <color indexed="8"/>
        <rFont val="Arial"/>
      </rPr>
      <t xml:space="preserve"> </t>
    </r>
  </si>
  <si>
    <r>
      <t>Possible Cause</t>
    </r>
    <r>
      <rPr>
        <sz val="10"/>
        <color indexed="8"/>
        <rFont val="Arial"/>
      </rPr>
      <t xml:space="preserve"> </t>
    </r>
  </si>
  <si>
    <t xml:space="preserve">Failure Effects </t>
  </si>
  <si>
    <r>
      <t>Failure Mode</t>
    </r>
    <r>
      <rPr>
        <sz val="10"/>
        <color indexed="8"/>
        <rFont val="Arial"/>
      </rPr>
      <t xml:space="preserve"> </t>
    </r>
  </si>
  <si>
    <t>Subsystem</t>
  </si>
  <si>
    <r>
      <t>Failure Mode #</t>
    </r>
    <r>
      <rPr>
        <sz val="10"/>
        <color indexed="8"/>
        <rFont val="Arial"/>
      </rPr>
      <t xml:space="preserve"> </t>
    </r>
  </si>
  <si>
    <t xml:space="preserve">Failure Mode # </t>
  </si>
  <si>
    <t xml:space="preserve">Failure Mode </t>
  </si>
  <si>
    <t>Instructions:</t>
  </si>
  <si>
    <t>To submit this assignment, please refer to the instructions in the course.</t>
  </si>
  <si>
    <t>Copyright © 2018 eCornell. All rights reserved. All other copyrights, trademarks, trade names, and logos are the sole property of their respective owners.</t>
  </si>
  <si>
    <t>FMEA Template</t>
  </si>
  <si>
    <t>CESYS527: Identifying and Evaluating Risk</t>
  </si>
  <si>
    <t>Cornell University College of Engineering</t>
  </si>
  <si>
    <t>3 Hrs. (See Timeline's IR Sensor Risk Plan D)</t>
  </si>
  <si>
    <t>LOW</t>
  </si>
  <si>
    <t>Increase the robustness of the mechanical housing to take stress of cable connections</t>
  </si>
  <si>
    <t>MEDIUM</t>
  </si>
  <si>
    <t>signal cables disconnected</t>
  </si>
  <si>
    <t>power cables disconnected</t>
  </si>
  <si>
    <t>Check encoders to make sure they are securely fastened and properly aligned. Check wiring for frays and proper connections. Replace encoders or connections if need be.</t>
  </si>
  <si>
    <t>12 hrs. (See Timeline's IR Sensor Risk Plan B)</t>
  </si>
  <si>
    <t>Research more robust parts. Put in a redundant encoder and adjust sensor filter system to account for this redundancy.</t>
  </si>
  <si>
    <t>MEDIUM LOW</t>
  </si>
  <si>
    <t>broken detector or emitter</t>
  </si>
  <si>
    <t>No signal provided</t>
  </si>
  <si>
    <t>F.3</t>
  </si>
  <si>
    <t>Check encoders to make sure they are securely fastened and properly aligned. Check encoders for debris and clean if need be. Check encoders to make sure they're still working. Replace encoders if need be.</t>
  </si>
  <si>
    <t>sensor detector or emitter is partially damaged</t>
  </si>
  <si>
    <t>Plants &amp; Searching</t>
  </si>
  <si>
    <t>Unable to locate specific plant by name</t>
  </si>
  <si>
    <t>Unable to display all available plants that match requested criteria</t>
  </si>
  <si>
    <t>Missing data for plant care</t>
  </si>
  <si>
    <t>Plants missing growing zone data</t>
  </si>
  <si>
    <t>Unable to favorite plants</t>
  </si>
  <si>
    <t>Unable to send notifications / reminders about plant needs</t>
  </si>
  <si>
    <t>Unable to view a specific plant's data</t>
  </si>
  <si>
    <t>unable to suggest plants that would fit user's growing zone</t>
  </si>
  <si>
    <t>bad UX; unable to plan for planting; unable to save plant; unable to be suggested plant based on growing zone or native to local area</t>
  </si>
  <si>
    <t>unable to locate by plant photo</t>
  </si>
  <si>
    <t>less functionality or ease of use for user</t>
  </si>
  <si>
    <t>bad UX; unable to plan for planting; unable to have accurate range of choices for plant care local to growign zone or area</t>
  </si>
  <si>
    <t>bad UX; unable to plan for planting; unable to complete requirements for rest of care; unable to send/receive notification for planting needs</t>
  </si>
  <si>
    <t>bad UX; unable to plan for planting; unable to send/receive notification for planting needs; unable to suggest plants good for local growing zone or native to area</t>
  </si>
  <si>
    <t>bad UX; harder for user to retrieve data from preferred plants or current gardening needs</t>
  </si>
  <si>
    <t>unable to alert user to plan for needs of the plant based on growing zone or local area</t>
  </si>
  <si>
    <t>bad UX; users may think it's broken if it's too long</t>
  </si>
  <si>
    <t>bad UX; unable to save plant; unable to plan for plant needs; unable to know if plant is what is needed for user</t>
  </si>
  <si>
    <t>bad UX; unable to plan for planting; unable to have accurate range of choices for plant care local to growing zone or area</t>
  </si>
  <si>
    <t>Missing from database</t>
  </si>
  <si>
    <t>Broken search capability</t>
  </si>
  <si>
    <t>not a real plant</t>
  </si>
  <si>
    <t>broken filter capability</t>
  </si>
  <si>
    <t>too specific - no matches for everything</t>
  </si>
  <si>
    <t>inaccurate regex</t>
  </si>
  <si>
    <t>location or growing zone data not provided to provide suggestions</t>
  </si>
  <si>
    <t>unable to locate information to add to database</t>
  </si>
  <si>
    <t>no user account option available &amp; no local saving ability</t>
  </si>
  <si>
    <t>user not logged in</t>
  </si>
  <si>
    <t>reminders not turned on</t>
  </si>
  <si>
    <t>no permissions</t>
  </si>
  <si>
    <t>plants not favorited</t>
  </si>
  <si>
    <t>system has notifications on silent or DND</t>
  </si>
  <si>
    <t>location data not provided for local weather alerts</t>
  </si>
  <si>
    <t>for weather - bad signal</t>
  </si>
  <si>
    <t>for local DB - not optimized search</t>
  </si>
  <si>
    <t>not in DB</t>
  </si>
  <si>
    <t>broken view</t>
  </si>
  <si>
    <t>Slow to locate data (takes more than 2 seconds to find plants)</t>
  </si>
  <si>
    <t>user has not provided location, GPS permission, nor grow zone</t>
  </si>
  <si>
    <t>GPS permission on but device GPS is off</t>
  </si>
  <si>
    <t>improperly added grow zone</t>
  </si>
  <si>
    <t>native information not in database</t>
  </si>
  <si>
    <t>no photo in DB</t>
  </si>
  <si>
    <t>AI not yet integrated to review images in DB</t>
  </si>
  <si>
    <t>Occurs less than once every 1 months</t>
  </si>
  <si>
    <t>Occurs between once every 2-3 weeks to once every 1 months</t>
  </si>
  <si>
    <t>Write unit tests to confirm capability</t>
  </si>
  <si>
    <t>Similar to missing from database, except when a plant isn't found it will provide a LMGTFY link to what they searched for.</t>
  </si>
  <si>
    <t>F.1</t>
  </si>
  <si>
    <t>F.4</t>
  </si>
  <si>
    <t>F.5</t>
  </si>
  <si>
    <t>F.6</t>
  </si>
  <si>
    <t>F.7</t>
  </si>
  <si>
    <t>F.8</t>
  </si>
  <si>
    <t>F.9</t>
  </si>
  <si>
    <t>F.10</t>
  </si>
  <si>
    <t>Build function to "read" a photo and find it in the database.</t>
  </si>
  <si>
    <t>Have a small icon or some notification to alert the user that their GPS is off - thus impacting weather alerts, et all</t>
  </si>
  <si>
    <t>Create a way for the sound to always play - OR some way for the notification to reappear / get user attention.</t>
  </si>
  <si>
    <t>Create feature so people can have a user account to log in to.</t>
  </si>
  <si>
    <t>Ensure backup and data import are available and working.</t>
  </si>
  <si>
    <t>less than 1 week</t>
  </si>
  <si>
    <t>unknown - need to research</t>
  </si>
  <si>
    <t>Ensure common plants are listed.
Add popular native plants from my area.
Include all plants I intend to grow.</t>
  </si>
  <si>
    <t>Create easy pipeline for others to be added by the user community.
If realized, provide way for user to give feedback on what plant they want to see &amp; which plants have been requested.</t>
  </si>
  <si>
    <t>N/A - either they mistyped or it's missing from database</t>
  </si>
  <si>
    <t>Disable suggestions until one or the other is provided</t>
  </si>
  <si>
    <t>N/A - should not be an issue since the backup and restore from file should be an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</si>
</sst>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indexed="8"/>
      <name val="Arial"/>
    </font>
    <font>
      <b/>
      <sz val="18"/>
      <color indexed="8"/>
      <name val="Arial"/>
    </font>
    <font>
      <b/>
      <sz val="16"/>
      <color indexed="8"/>
      <name val="Arial"/>
    </font>
    <font>
      <b/>
      <sz val="14"/>
      <color indexed="8"/>
      <name val="Arial"/>
    </font>
    <font>
      <b/>
      <i/>
      <sz val="14"/>
      <color indexed="8"/>
      <name val="Arial"/>
    </font>
    <font>
      <sz val="11"/>
      <color rgb="FF5C5C5C"/>
      <name val="Arial"/>
    </font>
    <font>
      <sz val="10"/>
      <color indexed="8"/>
      <name val="Arial"/>
    </font>
    <font>
      <sz val="11"/>
      <color theme="1"/>
      <name val="Calibri"/>
      <family val="2"/>
      <scheme val="minor"/>
    </font>
    <font>
      <sz val="10"/>
      <color indexed="8"/>
      <name val="Arial"/>
    </font>
    <font>
      <sz val="10"/>
      <color indexed="8"/>
      <name val="Arial"/>
    </font>
    <font>
      <b/>
      <sz val="10"/>
      <color indexed="8"/>
      <name val="Arial"/>
      <family val="2"/>
    </font>
    <font>
      <sz val="14"/>
      <color indexed="8"/>
      <name val="Arial"/>
      <family val="2"/>
    </font>
    <font>
      <b/>
      <sz val="11"/>
      <color indexed="8"/>
      <name val="Arial"/>
      <family val="2"/>
    </font>
    <font>
      <i/>
      <sz val="11"/>
      <color indexed="8"/>
      <name val="Arial"/>
      <family val="2"/>
    </font>
    <font>
      <sz val="12"/>
      <color indexed="8"/>
      <name val="Arial"/>
    </font>
    <font>
      <sz val="8"/>
      <name val="Verdana"/>
    </font>
    <font>
      <b/>
      <sz val="12"/>
      <color indexed="8"/>
      <name val="Arial"/>
      <family val="2"/>
    </font>
    <font>
      <sz val="12"/>
      <color indexed="8"/>
      <name val="Arial"/>
      <family val="2"/>
    </font>
    <font>
      <sz val="8"/>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theme="6" tint="0.79998168889431442"/>
        <bgColor indexed="64"/>
      </patternFill>
    </fill>
  </fills>
  <borders count="16">
    <border>
      <left/>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s>
  <cellStyleXfs count="2">
    <xf numFmtId="0" fontId="0" fillId="0" borderId="0"/>
    <xf numFmtId="0" fontId="8" fillId="0" borderId="0"/>
  </cellStyleXfs>
  <cellXfs count="8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wrapText="1"/>
    </xf>
    <xf numFmtId="0" fontId="1" fillId="0" borderId="0" xfId="0" applyFont="1" applyAlignment="1">
      <alignment vertical="top" wrapText="1"/>
    </xf>
    <xf numFmtId="0" fontId="6" fillId="0" borderId="0" xfId="0" applyFont="1"/>
    <xf numFmtId="0" fontId="7" fillId="0" borderId="0" xfId="0" applyFont="1" applyAlignment="1">
      <alignment horizontal="right"/>
    </xf>
    <xf numFmtId="0" fontId="9" fillId="0" borderId="0" xfId="1" applyFont="1"/>
    <xf numFmtId="0" fontId="9" fillId="2" borderId="2" xfId="1" applyFont="1" applyFill="1" applyBorder="1"/>
    <xf numFmtId="0" fontId="10" fillId="0" borderId="3" xfId="1" applyFont="1" applyBorder="1" applyAlignment="1">
      <alignment horizontal="left" vertical="top" wrapText="1" readingOrder="1"/>
    </xf>
    <xf numFmtId="0" fontId="9" fillId="0" borderId="2" xfId="1" applyFont="1" applyBorder="1"/>
    <xf numFmtId="0" fontId="9" fillId="0" borderId="3" xfId="1" applyFont="1" applyBorder="1"/>
    <xf numFmtId="0" fontId="10" fillId="0" borderId="4" xfId="1" applyFont="1" applyBorder="1" applyAlignment="1">
      <alignment horizontal="left" vertical="top" wrapText="1" readingOrder="1"/>
    </xf>
    <xf numFmtId="0" fontId="9" fillId="0" borderId="3" xfId="1" applyFont="1" applyBorder="1" applyAlignment="1">
      <alignment horizontal="left" vertical="top"/>
    </xf>
    <xf numFmtId="0" fontId="9" fillId="0" borderId="3" xfId="1" applyFont="1" applyBorder="1" applyAlignment="1">
      <alignment wrapText="1"/>
    </xf>
    <xf numFmtId="0" fontId="10" fillId="0" borderId="5" xfId="1" applyFont="1" applyBorder="1" applyAlignment="1">
      <alignment horizontal="left" vertical="top" wrapText="1" readingOrder="1"/>
    </xf>
    <xf numFmtId="0" fontId="10" fillId="0" borderId="6" xfId="1" applyFont="1" applyBorder="1" applyAlignment="1">
      <alignment horizontal="left" vertical="top" wrapText="1" readingOrder="1"/>
    </xf>
    <xf numFmtId="0" fontId="10" fillId="0" borderId="7" xfId="1" applyFont="1" applyBorder="1" applyAlignment="1">
      <alignment horizontal="left" vertical="top" wrapText="1" readingOrder="1"/>
    </xf>
    <xf numFmtId="0" fontId="9" fillId="0" borderId="3" xfId="1" applyFont="1" applyBorder="1" applyAlignment="1">
      <alignment vertical="top"/>
    </xf>
    <xf numFmtId="0" fontId="9" fillId="0" borderId="1" xfId="1" applyFont="1" applyBorder="1"/>
    <xf numFmtId="0" fontId="9" fillId="0" borderId="8" xfId="1" applyFont="1" applyBorder="1"/>
    <xf numFmtId="0" fontId="10" fillId="2" borderId="10" xfId="1" applyFont="1" applyFill="1" applyBorder="1" applyAlignment="1">
      <alignment horizontal="left" vertical="top" wrapText="1" readingOrder="1"/>
    </xf>
    <xf numFmtId="0" fontId="10" fillId="0" borderId="11" xfId="1" applyFont="1" applyBorder="1" applyAlignment="1">
      <alignment horizontal="left" vertical="top" wrapText="1" readingOrder="1"/>
    </xf>
    <xf numFmtId="0" fontId="10" fillId="2" borderId="11" xfId="1" applyFont="1" applyFill="1" applyBorder="1" applyAlignment="1">
      <alignment horizontal="left" vertical="top" wrapText="1" readingOrder="1"/>
    </xf>
    <xf numFmtId="0" fontId="9" fillId="0" borderId="9" xfId="1" applyFont="1" applyBorder="1" applyAlignment="1">
      <alignment vertical="top"/>
    </xf>
    <xf numFmtId="0" fontId="10" fillId="0" borderId="8" xfId="1" applyFont="1" applyBorder="1" applyAlignment="1">
      <alignment vertical="top" wrapText="1" readingOrder="1"/>
    </xf>
    <xf numFmtId="0" fontId="11" fillId="0" borderId="8" xfId="1" applyFont="1" applyBorder="1" applyAlignment="1">
      <alignment vertical="top" wrapText="1" readingOrder="1"/>
    </xf>
    <xf numFmtId="0" fontId="10" fillId="0" borderId="9" xfId="1" applyFont="1" applyBorder="1" applyAlignment="1">
      <alignment horizontal="left" vertical="top" wrapText="1" readingOrder="1"/>
    </xf>
    <xf numFmtId="0" fontId="10" fillId="2" borderId="6" xfId="1" applyFont="1" applyFill="1" applyBorder="1" applyAlignment="1">
      <alignment horizontal="left" vertical="top" wrapText="1" readingOrder="1"/>
    </xf>
    <xf numFmtId="0" fontId="10" fillId="0" borderId="12" xfId="1" applyFont="1" applyBorder="1" applyAlignment="1">
      <alignment horizontal="left" vertical="top" wrapText="1" readingOrder="1"/>
    </xf>
    <xf numFmtId="0" fontId="10" fillId="0" borderId="2" xfId="1" applyFont="1" applyBorder="1" applyAlignment="1">
      <alignment vertical="top" wrapText="1" readingOrder="1"/>
    </xf>
    <xf numFmtId="0" fontId="10" fillId="0" borderId="1" xfId="1" applyFont="1" applyBorder="1" applyAlignment="1">
      <alignment horizontal="left" vertical="top" wrapText="1" readingOrder="1"/>
    </xf>
    <xf numFmtId="0" fontId="10" fillId="2" borderId="5" xfId="1" applyFont="1" applyFill="1" applyBorder="1" applyAlignment="1">
      <alignment horizontal="left" vertical="top" wrapText="1" readingOrder="1"/>
    </xf>
    <xf numFmtId="0" fontId="10" fillId="0" borderId="1" xfId="1" applyFont="1" applyBorder="1" applyAlignment="1">
      <alignment vertical="top" wrapText="1" readingOrder="1"/>
    </xf>
    <xf numFmtId="0" fontId="10" fillId="0" borderId="8" xfId="1" applyFont="1" applyBorder="1" applyAlignment="1">
      <alignment horizontal="left" vertical="top" wrapText="1" readingOrder="1"/>
    </xf>
    <xf numFmtId="0" fontId="10" fillId="0" borderId="13" xfId="1" applyFont="1" applyBorder="1" applyAlignment="1">
      <alignment horizontal="left" vertical="top" wrapText="1" readingOrder="1"/>
    </xf>
    <xf numFmtId="0" fontId="10" fillId="0" borderId="9" xfId="1" applyFont="1" applyBorder="1" applyAlignment="1">
      <alignment vertical="top" wrapText="1" readingOrder="1"/>
    </xf>
    <xf numFmtId="0" fontId="11" fillId="0" borderId="9" xfId="1" applyFont="1" applyBorder="1" applyAlignment="1">
      <alignment vertical="top" wrapText="1" readingOrder="1"/>
    </xf>
    <xf numFmtId="0" fontId="0" fillId="3" borderId="0" xfId="0" applyFill="1"/>
    <xf numFmtId="0" fontId="11" fillId="2" borderId="11" xfId="1" applyFont="1" applyFill="1" applyBorder="1" applyAlignment="1">
      <alignment horizontal="left" vertical="top" wrapText="1" readingOrder="1"/>
    </xf>
    <xf numFmtId="0" fontId="11" fillId="2" borderId="11" xfId="1" applyFont="1" applyFill="1" applyBorder="1" applyAlignment="1">
      <alignment horizontal="left" vertical="top" wrapText="1"/>
    </xf>
    <xf numFmtId="0" fontId="12" fillId="0" borderId="0" xfId="0" applyFont="1" applyAlignment="1">
      <alignment vertical="top" wrapText="1"/>
    </xf>
    <xf numFmtId="0" fontId="11" fillId="2" borderId="14" xfId="1" applyFont="1" applyFill="1" applyBorder="1" applyAlignment="1">
      <alignment horizontal="left" vertical="top" wrapText="1" readingOrder="1"/>
    </xf>
    <xf numFmtId="0" fontId="11" fillId="2" borderId="15" xfId="1" applyFont="1" applyFill="1" applyBorder="1" applyAlignment="1">
      <alignment horizontal="left" vertical="top" wrapText="1"/>
    </xf>
    <xf numFmtId="0" fontId="11" fillId="2" borderId="12" xfId="1" applyFont="1" applyFill="1" applyBorder="1" applyAlignment="1">
      <alignment horizontal="left" vertical="top" wrapText="1"/>
    </xf>
    <xf numFmtId="0" fontId="0" fillId="0" borderId="0" xfId="0" applyAlignment="1">
      <alignment wrapText="1"/>
    </xf>
    <xf numFmtId="0" fontId="13" fillId="0" borderId="0" xfId="0" applyFont="1" applyAlignment="1">
      <alignment horizontal="right"/>
    </xf>
    <xf numFmtId="0" fontId="14" fillId="0" borderId="0" xfId="0" applyFont="1"/>
    <xf numFmtId="0" fontId="15" fillId="0" borderId="0" xfId="0" applyFont="1"/>
    <xf numFmtId="0" fontId="13" fillId="0" borderId="0" xfId="0" applyFont="1"/>
    <xf numFmtId="0" fontId="15" fillId="4" borderId="0" xfId="0" applyFont="1" applyFill="1" applyAlignment="1">
      <alignment horizontal="center"/>
    </xf>
    <xf numFmtId="0" fontId="15" fillId="5" borderId="0" xfId="0" applyFont="1" applyFill="1" applyAlignment="1">
      <alignment horizontal="center"/>
    </xf>
    <xf numFmtId="0" fontId="15" fillId="6" borderId="0" xfId="0" applyFont="1" applyFill="1" applyAlignment="1">
      <alignment horizontal="center"/>
    </xf>
    <xf numFmtId="0" fontId="15" fillId="7" borderId="0" xfId="0" applyFont="1" applyFill="1" applyAlignment="1">
      <alignment horizontal="center"/>
    </xf>
    <xf numFmtId="0" fontId="15" fillId="8" borderId="0" xfId="0" applyFont="1" applyFill="1" applyAlignment="1">
      <alignment horizontal="center"/>
    </xf>
    <xf numFmtId="0" fontId="13" fillId="8" borderId="0" xfId="0" applyFont="1" applyFill="1" applyAlignment="1">
      <alignment horizontal="center"/>
    </xf>
    <xf numFmtId="0" fontId="13" fillId="7" borderId="0" xfId="0" applyFont="1" applyFill="1" applyAlignment="1">
      <alignment horizontal="center"/>
    </xf>
    <xf numFmtId="0" fontId="13" fillId="0" borderId="0" xfId="0" applyFont="1" applyAlignment="1">
      <alignment horizontal="center"/>
    </xf>
    <xf numFmtId="0" fontId="13" fillId="4" borderId="0" xfId="0" applyFont="1" applyFill="1" applyAlignment="1">
      <alignment horizontal="center"/>
    </xf>
    <xf numFmtId="0" fontId="13" fillId="5" borderId="0" xfId="0" applyFont="1" applyFill="1" applyAlignment="1">
      <alignment horizontal="center"/>
    </xf>
    <xf numFmtId="0" fontId="13" fillId="6" borderId="0" xfId="0" applyFont="1" applyFill="1" applyAlignment="1">
      <alignment horizontal="center"/>
    </xf>
    <xf numFmtId="0" fontId="15" fillId="6" borderId="0" xfId="0" quotePrefix="1" applyFont="1" applyFill="1" applyAlignment="1">
      <alignment horizontal="center"/>
    </xf>
    <xf numFmtId="0" fontId="15" fillId="5" borderId="0" xfId="0" quotePrefix="1" applyFont="1" applyFill="1" applyAlignment="1">
      <alignment horizontal="center"/>
    </xf>
    <xf numFmtId="0" fontId="15" fillId="4" borderId="0" xfId="0" quotePrefix="1" applyFont="1" applyFill="1" applyAlignment="1">
      <alignment horizontal="center"/>
    </xf>
    <xf numFmtId="0" fontId="15" fillId="7" borderId="0" xfId="0" quotePrefix="1" applyFont="1" applyFill="1" applyAlignment="1">
      <alignment horizontal="center"/>
    </xf>
    <xf numFmtId="0" fontId="15" fillId="8" borderId="0" xfId="0" quotePrefix="1" applyFont="1" applyFill="1" applyAlignment="1">
      <alignment horizontal="center"/>
    </xf>
    <xf numFmtId="0" fontId="11" fillId="2" borderId="14" xfId="1" applyFont="1" applyFill="1" applyBorder="1" applyAlignment="1">
      <alignment horizontal="left" vertical="center" wrapText="1" readingOrder="1"/>
    </xf>
    <xf numFmtId="0" fontId="11" fillId="2" borderId="15" xfId="1" applyFont="1" applyFill="1" applyBorder="1" applyAlignment="1">
      <alignment horizontal="left" vertical="center" wrapText="1"/>
    </xf>
    <xf numFmtId="0" fontId="11" fillId="2" borderId="12" xfId="1" applyFont="1" applyFill="1" applyBorder="1" applyAlignment="1">
      <alignment horizontal="left" vertical="center" wrapText="1"/>
    </xf>
    <xf numFmtId="0" fontId="0" fillId="0" borderId="0" xfId="0" applyAlignment="1">
      <alignment vertical="center" wrapText="1"/>
    </xf>
    <xf numFmtId="0" fontId="0" fillId="3" borderId="0" xfId="0" applyFill="1" applyAlignment="1">
      <alignment vertical="center" wrapText="1"/>
    </xf>
    <xf numFmtId="0" fontId="17" fillId="9" borderId="0" xfId="0" applyFont="1" applyFill="1"/>
    <xf numFmtId="0" fontId="15" fillId="9" borderId="0" xfId="0" applyFont="1" applyFill="1"/>
    <xf numFmtId="0" fontId="0" fillId="9" borderId="0" xfId="0" applyFill="1"/>
    <xf numFmtId="0" fontId="13" fillId="9" borderId="0" xfId="0" applyFont="1" applyFill="1"/>
    <xf numFmtId="0" fontId="13" fillId="9" borderId="0" xfId="0" applyFont="1" applyFill="1" applyAlignment="1">
      <alignment vertical="center"/>
    </xf>
    <xf numFmtId="0" fontId="9" fillId="0" borderId="9" xfId="1" applyFont="1" applyBorder="1" applyAlignment="1">
      <alignment horizontal="left" vertical="top" wrapText="1"/>
    </xf>
    <xf numFmtId="0" fontId="9" fillId="0" borderId="8" xfId="1" applyFont="1" applyBorder="1" applyAlignment="1">
      <alignment horizontal="left" vertical="top" wrapText="1"/>
    </xf>
    <xf numFmtId="0" fontId="9" fillId="0" borderId="1" xfId="1" applyFont="1" applyBorder="1" applyAlignment="1">
      <alignment horizontal="left" vertical="top" wrapText="1"/>
    </xf>
    <xf numFmtId="0" fontId="10" fillId="0" borderId="9" xfId="1" applyFont="1" applyBorder="1" applyAlignment="1">
      <alignment horizontal="left" vertical="top" wrapText="1" readingOrder="1"/>
    </xf>
    <xf numFmtId="0" fontId="10" fillId="0" borderId="8" xfId="1" applyFont="1" applyBorder="1" applyAlignment="1">
      <alignment horizontal="left" vertical="top" wrapText="1" readingOrder="1"/>
    </xf>
    <xf numFmtId="0" fontId="10" fillId="0" borderId="1" xfId="1" applyFont="1" applyBorder="1" applyAlignment="1">
      <alignment horizontal="left" vertical="top" wrapText="1" readingOrder="1"/>
    </xf>
    <xf numFmtId="0" fontId="15" fillId="9" borderId="0" xfId="0" applyFont="1" applyFill="1" applyAlignment="1">
      <alignment vertical="center" wrapText="1"/>
    </xf>
    <xf numFmtId="0" fontId="18" fillId="9" borderId="0" xfId="0" applyFont="1" applyFill="1" applyAlignment="1">
      <alignment vertical="center" wrapText="1"/>
    </xf>
    <xf numFmtId="0" fontId="15" fillId="0" borderId="0" xfId="0" applyFont="1" applyAlignment="1">
      <alignment wrapText="1"/>
    </xf>
    <xf numFmtId="0" fontId="14" fillId="0" borderId="0" xfId="0" applyFont="1" applyAlignment="1">
      <alignment horizontal="right"/>
    </xf>
  </cellXfs>
  <cellStyles count="2">
    <cellStyle name="Normal" xfId="0" builtinId="0"/>
    <cellStyle name="Normal 2" xfId="1" xr:uid="{00000000-0005-0000-0000-000001000000}"/>
  </cellStyles>
  <dxfs count="24">
    <dxf>
      <font>
        <color theme="0"/>
      </font>
      <fill>
        <patternFill>
          <bgColor rgb="FF00B050"/>
        </patternFill>
      </fill>
    </dxf>
    <dxf>
      <fill>
        <patternFill>
          <bgColor rgb="FF92D050"/>
        </patternFill>
      </fill>
    </dxf>
    <dxf>
      <fill>
        <patternFill>
          <bgColor rgb="FFFFFF00"/>
        </patternFill>
      </fill>
    </dxf>
    <dxf>
      <fill>
        <patternFill>
          <bgColor rgb="FFFFC000"/>
        </patternFill>
      </fill>
    </dxf>
    <dxf>
      <font>
        <color theme="0"/>
      </font>
      <fill>
        <patternFill>
          <bgColor rgb="FF00B050"/>
        </patternFill>
      </fill>
    </dxf>
    <dxf>
      <fill>
        <patternFill>
          <bgColor rgb="FF92D050"/>
        </patternFill>
      </fill>
    </dxf>
    <dxf>
      <fill>
        <patternFill>
          <bgColor rgb="FFFFFF00"/>
        </patternFill>
      </fill>
    </dxf>
    <dxf>
      <fill>
        <patternFill>
          <bgColor rgb="FFFFC000"/>
        </patternFill>
      </fill>
    </dxf>
    <dxf>
      <font>
        <color theme="0"/>
      </font>
      <fill>
        <patternFill>
          <bgColor rgb="FF00B050"/>
        </patternFill>
      </fill>
    </dxf>
    <dxf>
      <fill>
        <patternFill>
          <bgColor rgb="FF92D050"/>
        </patternFill>
      </fill>
    </dxf>
    <dxf>
      <fill>
        <patternFill>
          <bgColor rgb="FFFFFF00"/>
        </patternFill>
      </fill>
    </dxf>
    <dxf>
      <fill>
        <patternFill>
          <bgColor rgb="FFFFC000"/>
        </patternFill>
      </fill>
    </dxf>
    <dxf>
      <font>
        <color theme="0"/>
      </font>
      <fill>
        <patternFill>
          <bgColor rgb="FF00B050"/>
        </patternFill>
      </fill>
    </dxf>
    <dxf>
      <fill>
        <patternFill>
          <bgColor rgb="FF92D050"/>
        </patternFill>
      </fill>
    </dxf>
    <dxf>
      <fill>
        <patternFill>
          <bgColor rgb="FFFFFF00"/>
        </patternFill>
      </fill>
    </dxf>
    <dxf>
      <fill>
        <patternFill>
          <bgColor rgb="FFFFC000"/>
        </patternFill>
      </fill>
    </dxf>
    <dxf>
      <font>
        <color theme="0"/>
      </font>
      <fill>
        <patternFill>
          <bgColor rgb="FF00B050"/>
        </patternFill>
      </fill>
    </dxf>
    <dxf>
      <fill>
        <patternFill>
          <bgColor rgb="FF92D050"/>
        </patternFill>
      </fill>
    </dxf>
    <dxf>
      <fill>
        <patternFill>
          <bgColor rgb="FFFFFF00"/>
        </patternFill>
      </fill>
    </dxf>
    <dxf>
      <fill>
        <patternFill>
          <bgColor rgb="FFFFC000"/>
        </patternFill>
      </fill>
    </dxf>
    <dxf>
      <font>
        <color theme="0"/>
      </font>
      <fill>
        <patternFill>
          <bgColor rgb="FF00B050"/>
        </patternFill>
      </fill>
    </dxf>
    <dxf>
      <fill>
        <patternFill>
          <bgColor rgb="FF92D050"/>
        </patternFill>
      </fill>
    </dxf>
    <dxf>
      <fill>
        <patternFill>
          <bgColor rgb="FFFFFF00"/>
        </patternFill>
      </fill>
    </dxf>
    <dxf>
      <fill>
        <patternFill>
          <bgColor rgb="FFFFC000"/>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165100</xdr:rowOff>
    </xdr:from>
    <xdr:to>
      <xdr:col>1</xdr:col>
      <xdr:colOff>2247900</xdr:colOff>
      <xdr:row>4</xdr:row>
      <xdr:rowOff>170039</xdr:rowOff>
    </xdr:to>
    <xdr:pic>
      <xdr:nvPicPr>
        <xdr:cNvPr id="3" name="Picture 2" descr="COR001.eCornell.Logo.RGB.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500" y="355600"/>
          <a:ext cx="2247900" cy="5891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14"/>
  <sheetViews>
    <sheetView showGridLines="0" zoomScale="70" zoomScaleNormal="70" workbookViewId="0">
      <selection activeCell="B10" sqref="B10"/>
    </sheetView>
  </sheetViews>
  <sheetFormatPr defaultColWidth="10.796875" defaultRowHeight="15" x14ac:dyDescent="0.25"/>
  <cols>
    <col min="1" max="1" width="10.796875" style="1"/>
    <col min="2" max="2" width="143.796875" style="1" customWidth="1"/>
    <col min="3" max="16384" width="10.796875" style="1"/>
  </cols>
  <sheetData>
    <row r="3" spans="2:2" x14ac:dyDescent="0.25">
      <c r="B3" s="8" t="s">
        <v>75</v>
      </c>
    </row>
    <row r="4" spans="2:2" ht="16.05" customHeight="1" x14ac:dyDescent="0.25">
      <c r="B4" s="8" t="s">
        <v>76</v>
      </c>
    </row>
    <row r="5" spans="2:2" ht="51" customHeight="1" x14ac:dyDescent="0.4">
      <c r="B5" s="2" t="s">
        <v>74</v>
      </c>
    </row>
    <row r="6" spans="2:2" ht="21" x14ac:dyDescent="0.4">
      <c r="B6" s="3"/>
    </row>
    <row r="8" spans="2:2" ht="17.399999999999999" x14ac:dyDescent="0.3">
      <c r="B8" s="4" t="s">
        <v>71</v>
      </c>
    </row>
    <row r="9" spans="2:2" ht="124.95" customHeight="1" x14ac:dyDescent="0.25">
      <c r="B9" s="43" t="s">
        <v>11</v>
      </c>
    </row>
    <row r="10" spans="2:2" ht="28.95" customHeight="1" x14ac:dyDescent="0.3">
      <c r="B10" s="5" t="s">
        <v>72</v>
      </c>
    </row>
    <row r="11" spans="2:2" ht="22.95" customHeight="1" x14ac:dyDescent="0.25">
      <c r="B11" s="6"/>
    </row>
    <row r="12" spans="2:2" ht="24" customHeight="1" x14ac:dyDescent="0.25">
      <c r="B12" s="6"/>
    </row>
    <row r="14" spans="2:2" x14ac:dyDescent="0.25">
      <c r="B14" s="7" t="s">
        <v>73</v>
      </c>
    </row>
  </sheetData>
  <phoneticPr fontId="16" type="noConversion"/>
  <pageMargins left="0.75" right="0.75" top="1" bottom="1" header="0.5" footer="0.5"/>
  <drawing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6"/>
  <sheetViews>
    <sheetView topLeftCell="N1" zoomScale="129" zoomScaleNormal="129" zoomScalePageLayoutView="129" workbookViewId="0">
      <selection activeCell="Z2" sqref="Z2"/>
    </sheetView>
  </sheetViews>
  <sheetFormatPr defaultColWidth="8.796875" defaultRowHeight="13.2" x14ac:dyDescent="0.25"/>
  <cols>
    <col min="1" max="1" width="7.69921875" style="9" customWidth="1"/>
    <col min="2" max="2" width="23.296875" style="9" customWidth="1"/>
    <col min="3" max="3" width="21.5" style="9" customWidth="1"/>
    <col min="4" max="4" width="32.19921875" style="9" customWidth="1"/>
    <col min="5" max="5" width="24.5" style="9" customWidth="1"/>
    <col min="6" max="6" width="8.19921875" style="9" bestFit="1" customWidth="1"/>
    <col min="7" max="7" width="11.69921875" style="9" bestFit="1" customWidth="1"/>
    <col min="8" max="8" width="12.5" style="9" customWidth="1"/>
    <col min="9" max="9" width="11.296875" style="9" bestFit="1" customWidth="1"/>
    <col min="10" max="10" width="1.296875" style="9" customWidth="1"/>
    <col min="11" max="11" width="51.69921875" style="9" customWidth="1"/>
    <col min="12" max="12" width="9.5" style="9" bestFit="1" customWidth="1"/>
    <col min="13" max="13" width="11.69921875" style="9" bestFit="1" customWidth="1"/>
    <col min="14" max="14" width="13.69921875" style="9" bestFit="1" customWidth="1"/>
    <col min="15" max="15" width="11.296875" style="9" bestFit="1" customWidth="1"/>
    <col min="16" max="16" width="20.296875" style="9" customWidth="1"/>
    <col min="17" max="17" width="1.296875" style="9" customWidth="1"/>
    <col min="18" max="18" width="43.296875" style="9" bestFit="1" customWidth="1"/>
    <col min="19" max="19" width="9.5" style="9" bestFit="1" customWidth="1"/>
    <col min="20" max="20" width="11.69921875" style="9" bestFit="1" customWidth="1"/>
    <col min="21" max="21" width="13.69921875" style="9" bestFit="1" customWidth="1"/>
    <col min="22" max="22" width="11.296875" style="9" bestFit="1" customWidth="1"/>
    <col min="23" max="23" width="20.5" style="9" customWidth="1"/>
    <col min="24" max="24" width="1.296875" style="9" customWidth="1"/>
    <col min="25" max="25" width="43.296875" style="9" bestFit="1" customWidth="1"/>
    <col min="26" max="16384" width="8.796875" style="9"/>
  </cols>
  <sheetData>
    <row r="1" spans="1:25" ht="69" customHeight="1" thickBot="1" x14ac:dyDescent="0.3">
      <c r="A1" s="41" t="s">
        <v>68</v>
      </c>
      <c r="B1" s="42" t="s">
        <v>67</v>
      </c>
      <c r="C1" s="42" t="s">
        <v>66</v>
      </c>
      <c r="D1" s="42" t="s">
        <v>65</v>
      </c>
      <c r="E1" s="42" t="s">
        <v>64</v>
      </c>
      <c r="F1" s="42" t="s">
        <v>59</v>
      </c>
      <c r="G1" s="42" t="s">
        <v>63</v>
      </c>
      <c r="H1" s="42" t="s">
        <v>62</v>
      </c>
      <c r="I1" s="42" t="s">
        <v>61</v>
      </c>
      <c r="J1" s="42"/>
      <c r="K1" s="42" t="s">
        <v>60</v>
      </c>
      <c r="L1" s="42" t="s">
        <v>59</v>
      </c>
      <c r="M1" s="42" t="s">
        <v>58</v>
      </c>
      <c r="N1" s="42" t="s">
        <v>57</v>
      </c>
      <c r="O1" s="42" t="s">
        <v>56</v>
      </c>
      <c r="P1" s="42" t="s">
        <v>55</v>
      </c>
      <c r="Q1" s="42"/>
      <c r="R1" s="42" t="s">
        <v>60</v>
      </c>
      <c r="S1" s="42" t="s">
        <v>59</v>
      </c>
      <c r="T1" s="42" t="s">
        <v>58</v>
      </c>
      <c r="U1" s="42" t="s">
        <v>57</v>
      </c>
      <c r="V1" s="42" t="s">
        <v>56</v>
      </c>
      <c r="W1" s="42" t="s">
        <v>55</v>
      </c>
      <c r="X1" s="42"/>
      <c r="Y1" s="42" t="s">
        <v>54</v>
      </c>
    </row>
    <row r="2" spans="1:25" ht="66.599999999999994" thickBot="1" x14ac:dyDescent="0.3">
      <c r="A2" s="39" t="s">
        <v>53</v>
      </c>
      <c r="B2" s="38" t="s">
        <v>52</v>
      </c>
      <c r="C2" s="38" t="s">
        <v>51</v>
      </c>
      <c r="D2" s="29" t="s">
        <v>4</v>
      </c>
      <c r="E2" s="37" t="s">
        <v>49</v>
      </c>
      <c r="F2" s="18">
        <v>4</v>
      </c>
      <c r="G2" s="18">
        <v>5</v>
      </c>
      <c r="H2" s="18">
        <v>20</v>
      </c>
      <c r="I2" s="18" t="s">
        <v>48</v>
      </c>
      <c r="J2" s="30"/>
      <c r="K2" s="18" t="s">
        <v>5</v>
      </c>
      <c r="L2" s="18">
        <v>4</v>
      </c>
      <c r="M2" s="18">
        <v>2</v>
      </c>
      <c r="N2" s="18">
        <v>8</v>
      </c>
      <c r="O2" s="18" t="s">
        <v>80</v>
      </c>
      <c r="P2" s="18" t="s">
        <v>47</v>
      </c>
      <c r="Q2" s="30"/>
      <c r="R2" s="18" t="s">
        <v>46</v>
      </c>
      <c r="S2" s="18">
        <v>4</v>
      </c>
      <c r="T2" s="18">
        <v>1</v>
      </c>
      <c r="U2" s="18">
        <v>4</v>
      </c>
      <c r="V2" s="18" t="s">
        <v>86</v>
      </c>
      <c r="W2" s="18" t="s">
        <v>45</v>
      </c>
      <c r="X2" s="34"/>
      <c r="Y2" s="29" t="s">
        <v>90</v>
      </c>
    </row>
    <row r="3" spans="1:25" ht="40.200000000000003" thickBot="1" x14ac:dyDescent="0.3">
      <c r="A3" s="28"/>
      <c r="B3" s="27"/>
      <c r="C3" s="27"/>
      <c r="D3" s="36"/>
      <c r="E3" s="11" t="s">
        <v>44</v>
      </c>
      <c r="F3" s="19">
        <v>4</v>
      </c>
      <c r="G3" s="18">
        <v>2</v>
      </c>
      <c r="H3" s="18">
        <v>8</v>
      </c>
      <c r="I3" s="18" t="s">
        <v>80</v>
      </c>
      <c r="J3" s="30"/>
      <c r="K3" s="18" t="s">
        <v>43</v>
      </c>
      <c r="L3" s="18">
        <v>4</v>
      </c>
      <c r="M3" s="18">
        <v>1</v>
      </c>
      <c r="N3" s="18">
        <v>4</v>
      </c>
      <c r="O3" s="18" t="s">
        <v>86</v>
      </c>
      <c r="P3" s="18" t="s">
        <v>84</v>
      </c>
      <c r="Q3" s="30"/>
      <c r="R3" s="18"/>
      <c r="S3" s="18"/>
      <c r="T3" s="18"/>
      <c r="U3" s="18"/>
      <c r="V3" s="18"/>
      <c r="W3" s="18"/>
      <c r="X3" s="34"/>
      <c r="Y3" s="36"/>
    </row>
    <row r="4" spans="1:25" ht="61.95" customHeight="1" thickBot="1" x14ac:dyDescent="0.3">
      <c r="A4" s="28"/>
      <c r="B4" s="27"/>
      <c r="C4" s="35"/>
      <c r="D4" s="33"/>
      <c r="E4" s="11" t="s">
        <v>42</v>
      </c>
      <c r="F4" s="19">
        <v>4</v>
      </c>
      <c r="G4" s="18">
        <v>4</v>
      </c>
      <c r="H4" s="18">
        <v>16</v>
      </c>
      <c r="I4" s="18" t="s">
        <v>41</v>
      </c>
      <c r="J4" s="30"/>
      <c r="K4" s="18" t="s">
        <v>6</v>
      </c>
      <c r="L4" s="18">
        <v>4</v>
      </c>
      <c r="M4" s="18">
        <v>1</v>
      </c>
      <c r="N4" s="18">
        <v>4</v>
      </c>
      <c r="O4" s="18" t="s">
        <v>86</v>
      </c>
      <c r="P4" s="18" t="s">
        <v>50</v>
      </c>
      <c r="Q4" s="30"/>
      <c r="R4" s="18"/>
      <c r="S4" s="18"/>
      <c r="T4" s="18"/>
      <c r="U4" s="18"/>
      <c r="V4" s="18"/>
      <c r="W4" s="18"/>
      <c r="X4" s="34"/>
      <c r="Y4" s="33"/>
    </row>
    <row r="5" spans="1:25" ht="53.4" thickBot="1" x14ac:dyDescent="0.3">
      <c r="A5" s="28" t="s">
        <v>16</v>
      </c>
      <c r="B5" s="27"/>
      <c r="C5" s="32" t="s">
        <v>15</v>
      </c>
      <c r="D5" s="31" t="s">
        <v>8</v>
      </c>
      <c r="E5" s="29" t="s">
        <v>91</v>
      </c>
      <c r="F5" s="19">
        <v>2</v>
      </c>
      <c r="G5" s="18">
        <v>1</v>
      </c>
      <c r="H5" s="18">
        <v>2</v>
      </c>
      <c r="I5" s="18" t="s">
        <v>78</v>
      </c>
      <c r="J5" s="30"/>
      <c r="K5" s="18"/>
      <c r="L5" s="18"/>
      <c r="M5" s="18"/>
      <c r="N5" s="18"/>
      <c r="O5" s="18"/>
      <c r="P5" s="18"/>
      <c r="Q5" s="30"/>
      <c r="R5" s="18"/>
      <c r="S5" s="18"/>
      <c r="T5" s="18"/>
      <c r="U5" s="18"/>
      <c r="V5" s="18"/>
      <c r="W5" s="18"/>
      <c r="X5" s="30"/>
      <c r="Y5" s="29" t="s">
        <v>90</v>
      </c>
    </row>
    <row r="6" spans="1:25" ht="41.55" customHeight="1" thickBot="1" x14ac:dyDescent="0.3">
      <c r="A6" s="28" t="s">
        <v>89</v>
      </c>
      <c r="B6" s="27"/>
      <c r="C6" s="26" t="s">
        <v>88</v>
      </c>
      <c r="D6" s="78" t="s">
        <v>9</v>
      </c>
      <c r="E6" s="20" t="s">
        <v>87</v>
      </c>
      <c r="F6" s="19">
        <v>2</v>
      </c>
      <c r="G6" s="18">
        <v>2</v>
      </c>
      <c r="H6" s="18">
        <v>4</v>
      </c>
      <c r="I6" s="18" t="s">
        <v>86</v>
      </c>
      <c r="J6" s="25"/>
      <c r="K6" s="24" t="s">
        <v>85</v>
      </c>
      <c r="L6" s="24">
        <v>2</v>
      </c>
      <c r="M6" s="24">
        <v>1</v>
      </c>
      <c r="N6" s="24">
        <v>2</v>
      </c>
      <c r="O6" s="18" t="s">
        <v>78</v>
      </c>
      <c r="P6" s="18" t="s">
        <v>84</v>
      </c>
      <c r="Q6" s="25"/>
      <c r="R6" s="24"/>
      <c r="S6" s="24"/>
      <c r="T6" s="24"/>
      <c r="U6" s="24"/>
      <c r="V6" s="24"/>
      <c r="W6" s="24"/>
      <c r="X6" s="23"/>
      <c r="Y6" s="81" t="s">
        <v>83</v>
      </c>
    </row>
    <row r="7" spans="1:25" ht="28.2" customHeight="1" thickBot="1" x14ac:dyDescent="0.3">
      <c r="A7" s="22"/>
      <c r="B7" s="22"/>
      <c r="C7" s="22"/>
      <c r="D7" s="79"/>
      <c r="E7" s="20" t="s">
        <v>82</v>
      </c>
      <c r="F7" s="19">
        <v>2</v>
      </c>
      <c r="G7" s="18">
        <v>4</v>
      </c>
      <c r="H7" s="18">
        <v>8</v>
      </c>
      <c r="I7" s="17" t="s">
        <v>80</v>
      </c>
      <c r="J7" s="10"/>
      <c r="K7" s="16" t="s">
        <v>7</v>
      </c>
      <c r="L7" s="15">
        <v>2</v>
      </c>
      <c r="M7" s="15">
        <v>1</v>
      </c>
      <c r="N7" s="15">
        <v>2</v>
      </c>
      <c r="O7" s="14" t="s">
        <v>78</v>
      </c>
      <c r="P7" s="11" t="s">
        <v>77</v>
      </c>
      <c r="Q7" s="10"/>
      <c r="R7" s="13"/>
      <c r="S7" s="13"/>
      <c r="T7" s="13"/>
      <c r="U7" s="13"/>
      <c r="V7" s="12"/>
      <c r="W7" s="11"/>
      <c r="X7" s="10"/>
      <c r="Y7" s="82"/>
    </row>
    <row r="8" spans="1:25" ht="27.45" customHeight="1" thickBot="1" x14ac:dyDescent="0.3">
      <c r="A8" s="21"/>
      <c r="B8" s="21"/>
      <c r="C8" s="21"/>
      <c r="D8" s="80"/>
      <c r="E8" s="20" t="s">
        <v>81</v>
      </c>
      <c r="F8" s="19">
        <v>2</v>
      </c>
      <c r="G8" s="18">
        <v>5</v>
      </c>
      <c r="H8" s="18">
        <v>10</v>
      </c>
      <c r="I8" s="17" t="s">
        <v>80</v>
      </c>
      <c r="J8" s="10"/>
      <c r="K8" s="16" t="s">
        <v>79</v>
      </c>
      <c r="L8" s="15">
        <v>2</v>
      </c>
      <c r="M8" s="15">
        <v>1</v>
      </c>
      <c r="N8" s="15">
        <v>2</v>
      </c>
      <c r="O8" s="14" t="s">
        <v>78</v>
      </c>
      <c r="P8" s="11" t="s">
        <v>77</v>
      </c>
      <c r="Q8" s="10"/>
      <c r="R8" s="13"/>
      <c r="S8" s="13"/>
      <c r="T8" s="13"/>
      <c r="U8" s="13"/>
      <c r="V8" s="12"/>
      <c r="W8" s="11"/>
      <c r="X8" s="10"/>
      <c r="Y8" s="83"/>
    </row>
    <row r="10" spans="1:25" ht="15.6" x14ac:dyDescent="0.3">
      <c r="E10" s="48" t="s">
        <v>25</v>
      </c>
      <c r="F10" s="49" t="s">
        <v>40</v>
      </c>
      <c r="G10" s="50"/>
      <c r="H10" s="50"/>
      <c r="I10" s="50"/>
      <c r="J10" s="50"/>
      <c r="K10" s="48" t="s">
        <v>25</v>
      </c>
      <c r="L10" s="49" t="s">
        <v>40</v>
      </c>
      <c r="M10" s="50"/>
      <c r="N10" s="50"/>
      <c r="O10" s="50"/>
      <c r="P10" s="50"/>
      <c r="R10" s="48" t="s">
        <v>25</v>
      </c>
      <c r="S10" s="49" t="s">
        <v>40</v>
      </c>
      <c r="T10" s="50"/>
      <c r="U10" s="50"/>
      <c r="V10" s="50"/>
      <c r="W10" s="50"/>
    </row>
    <row r="11" spans="1:25" ht="15" x14ac:dyDescent="0.25">
      <c r="E11" s="51">
        <v>5</v>
      </c>
      <c r="F11" s="52">
        <f>$A11*F$23</f>
        <v>0</v>
      </c>
      <c r="G11" s="61">
        <v>1</v>
      </c>
      <c r="H11" s="54">
        <f>$A11*H$23</f>
        <v>0</v>
      </c>
      <c r="I11" s="62">
        <v>1</v>
      </c>
      <c r="J11" s="50"/>
      <c r="K11" s="51">
        <v>5</v>
      </c>
      <c r="L11" s="52">
        <f>$A11*L$23</f>
        <v>0</v>
      </c>
      <c r="M11" s="53">
        <v>0</v>
      </c>
      <c r="N11" s="54">
        <f>$A11*N$23</f>
        <v>0</v>
      </c>
      <c r="O11" s="54">
        <v>0</v>
      </c>
      <c r="P11" s="50"/>
      <c r="R11" s="51">
        <v>5</v>
      </c>
      <c r="S11" s="52">
        <f>$A11*S$23</f>
        <v>0</v>
      </c>
      <c r="T11" s="53">
        <v>0</v>
      </c>
      <c r="U11" s="54">
        <f>$A11*U$23</f>
        <v>0</v>
      </c>
      <c r="V11" s="54">
        <v>0</v>
      </c>
      <c r="W11" s="50"/>
    </row>
    <row r="12" spans="1:25" ht="15" x14ac:dyDescent="0.25">
      <c r="E12" s="51">
        <v>4</v>
      </c>
      <c r="F12" s="55">
        <f>$A12*F$23</f>
        <v>0</v>
      </c>
      <c r="G12" s="60">
        <v>1</v>
      </c>
      <c r="H12" s="53">
        <f>$A12*H$23</f>
        <v>0</v>
      </c>
      <c r="I12" s="62">
        <v>1</v>
      </c>
      <c r="J12" s="50"/>
      <c r="K12" s="51">
        <v>4</v>
      </c>
      <c r="L12" s="55">
        <f>$A12*L$23</f>
        <v>0</v>
      </c>
      <c r="M12" s="52">
        <v>0</v>
      </c>
      <c r="N12" s="53">
        <f>$A12*N$23</f>
        <v>0</v>
      </c>
      <c r="O12" s="54">
        <v>0</v>
      </c>
      <c r="P12" s="50"/>
      <c r="R12" s="51">
        <v>4</v>
      </c>
      <c r="S12" s="55">
        <f>$A12*S$23</f>
        <v>0</v>
      </c>
      <c r="T12" s="52">
        <v>0</v>
      </c>
      <c r="U12" s="53">
        <f>$A12*U$23</f>
        <v>0</v>
      </c>
      <c r="V12" s="54">
        <v>0</v>
      </c>
      <c r="W12" s="50"/>
    </row>
    <row r="13" spans="1:25" ht="15" x14ac:dyDescent="0.25">
      <c r="E13" s="51">
        <v>3</v>
      </c>
      <c r="F13" s="55">
        <f>$A13*F$23</f>
        <v>0</v>
      </c>
      <c r="G13" s="52">
        <f>$A13*G$23</f>
        <v>0</v>
      </c>
      <c r="H13" s="53">
        <f>$A13*H$23</f>
        <v>0</v>
      </c>
      <c r="I13" s="53">
        <f>$A13*I$23</f>
        <v>0</v>
      </c>
      <c r="J13" s="50"/>
      <c r="K13" s="51">
        <v>3</v>
      </c>
      <c r="L13" s="55">
        <f>$A13*L$23</f>
        <v>0</v>
      </c>
      <c r="M13" s="52">
        <f>$A13*M$23</f>
        <v>0</v>
      </c>
      <c r="N13" s="53">
        <f>$A13*N$23</f>
        <v>0</v>
      </c>
      <c r="O13" s="53">
        <f>$A13*O$23</f>
        <v>0</v>
      </c>
      <c r="P13" s="50"/>
      <c r="R13" s="51">
        <v>3</v>
      </c>
      <c r="S13" s="55">
        <f>$A13*S$23</f>
        <v>0</v>
      </c>
      <c r="T13" s="52">
        <f>$A13*T$23</f>
        <v>0</v>
      </c>
      <c r="U13" s="53">
        <f>$A13*U$23</f>
        <v>0</v>
      </c>
      <c r="V13" s="53">
        <f>$A13*V$23</f>
        <v>0</v>
      </c>
      <c r="W13" s="50"/>
    </row>
    <row r="14" spans="1:25" ht="15" x14ac:dyDescent="0.25">
      <c r="E14" s="51">
        <v>2</v>
      </c>
      <c r="F14" s="56">
        <f>$A14*F$23</f>
        <v>0</v>
      </c>
      <c r="G14" s="58">
        <v>1</v>
      </c>
      <c r="H14" s="52">
        <f>$A14*H$23</f>
        <v>0</v>
      </c>
      <c r="I14" s="60">
        <v>1</v>
      </c>
      <c r="J14" s="50"/>
      <c r="K14" s="51">
        <v>2</v>
      </c>
      <c r="L14" s="56">
        <f>$A14*L$23</f>
        <v>0</v>
      </c>
      <c r="M14" s="55">
        <v>0</v>
      </c>
      <c r="N14" s="52">
        <f>$A14*N$23</f>
        <v>0</v>
      </c>
      <c r="O14" s="60">
        <v>1</v>
      </c>
      <c r="P14" s="50"/>
      <c r="R14" s="51">
        <v>2</v>
      </c>
      <c r="S14" s="56">
        <f>$A14*S$23</f>
        <v>0</v>
      </c>
      <c r="T14" s="55">
        <v>0</v>
      </c>
      <c r="U14" s="52">
        <f>$A14*U$23</f>
        <v>0</v>
      </c>
      <c r="V14" s="52">
        <v>0</v>
      </c>
      <c r="W14" s="50"/>
    </row>
    <row r="15" spans="1:25" ht="15.6" x14ac:dyDescent="0.3">
      <c r="E15" s="51">
        <v>1</v>
      </c>
      <c r="F15" s="56">
        <f>$A15*F$23</f>
        <v>0</v>
      </c>
      <c r="G15" s="57">
        <v>1</v>
      </c>
      <c r="H15" s="55">
        <f>$A15*H$23</f>
        <v>0</v>
      </c>
      <c r="I15" s="55">
        <f>$A15*I$23</f>
        <v>0</v>
      </c>
      <c r="J15" s="49"/>
      <c r="K15" s="51">
        <v>1</v>
      </c>
      <c r="L15" s="56">
        <f>$A15*L$23</f>
        <v>0</v>
      </c>
      <c r="M15" s="57">
        <v>4</v>
      </c>
      <c r="N15" s="55">
        <f>$A15*N$23</f>
        <v>0</v>
      </c>
      <c r="O15" s="58">
        <v>2</v>
      </c>
      <c r="P15" s="49"/>
      <c r="R15" s="51">
        <v>1</v>
      </c>
      <c r="S15" s="56">
        <f>$A15*S$23</f>
        <v>0</v>
      </c>
      <c r="T15" s="57">
        <v>4</v>
      </c>
      <c r="U15" s="55">
        <f>$A15*U$23</f>
        <v>0</v>
      </c>
      <c r="V15" s="58">
        <v>3</v>
      </c>
      <c r="W15" s="49"/>
    </row>
    <row r="16" spans="1:25" ht="15" x14ac:dyDescent="0.25">
      <c r="E16" s="50"/>
      <c r="F16" s="59">
        <v>1</v>
      </c>
      <c r="G16" s="59">
        <v>2</v>
      </c>
      <c r="H16" s="59">
        <v>3</v>
      </c>
      <c r="I16" s="59">
        <v>4</v>
      </c>
      <c r="J16" s="51" t="s">
        <v>18</v>
      </c>
      <c r="K16" s="50"/>
      <c r="L16" s="59">
        <v>1</v>
      </c>
      <c r="M16" s="59">
        <v>2</v>
      </c>
      <c r="N16" s="59">
        <v>3</v>
      </c>
      <c r="O16" s="59">
        <v>4</v>
      </c>
      <c r="P16" s="51" t="s">
        <v>18</v>
      </c>
      <c r="R16" s="50"/>
      <c r="S16" s="59">
        <v>1</v>
      </c>
      <c r="T16" s="59">
        <v>2</v>
      </c>
      <c r="U16" s="59">
        <v>3</v>
      </c>
      <c r="V16" s="59">
        <v>4</v>
      </c>
      <c r="W16" s="51" t="s">
        <v>18</v>
      </c>
    </row>
  </sheetData>
  <mergeCells count="2">
    <mergeCell ref="D6:D8"/>
    <mergeCell ref="Y6:Y8"/>
  </mergeCells>
  <phoneticPr fontId="16" type="noConversion"/>
  <pageMargins left="0.7" right="0.7" top="0.75" bottom="0.75" header="0.3" footer="0.3"/>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
  <sheetViews>
    <sheetView workbookViewId="0">
      <selection activeCell="B2" sqref="B2"/>
    </sheetView>
  </sheetViews>
  <sheetFormatPr defaultColWidth="11.19921875" defaultRowHeight="15.6" x14ac:dyDescent="0.3"/>
  <cols>
    <col min="1" max="1" width="7.796875" customWidth="1"/>
    <col min="2" max="2" width="16" customWidth="1"/>
    <col min="3" max="3" width="22.69921875" customWidth="1"/>
    <col min="4" max="4" width="25.5" customWidth="1"/>
    <col min="5" max="5" width="18.296875" customWidth="1"/>
    <col min="6" max="6" width="7.69921875" customWidth="1"/>
    <col min="8" max="8" width="11.19921875" customWidth="1"/>
    <col min="10" max="10" width="1.69921875" style="40" customWidth="1"/>
    <col min="11" max="11" width="33.19921875" customWidth="1"/>
    <col min="12" max="12" width="9" customWidth="1"/>
    <col min="13" max="13" width="10.69921875" customWidth="1"/>
    <col min="14" max="14" width="7.296875" customWidth="1"/>
    <col min="15" max="15" width="10.296875" customWidth="1"/>
    <col min="16" max="16" width="18.5" customWidth="1"/>
    <col min="17" max="17" width="1.296875" style="40" customWidth="1"/>
    <col min="18" max="18" width="38.5" customWidth="1"/>
    <col min="19" max="19" width="8.296875" customWidth="1"/>
    <col min="23" max="23" width="23.5" customWidth="1"/>
    <col min="24" max="24" width="1.5" style="40" customWidth="1"/>
    <col min="25" max="25" width="28.5" customWidth="1"/>
  </cols>
  <sheetData>
    <row r="1" spans="1:25" ht="66.599999999999994" thickBot="1" x14ac:dyDescent="0.35">
      <c r="A1" s="44" t="s">
        <v>69</v>
      </c>
      <c r="B1" s="45" t="s">
        <v>67</v>
      </c>
      <c r="C1" s="45" t="s">
        <v>70</v>
      </c>
      <c r="D1" s="45" t="s">
        <v>65</v>
      </c>
      <c r="E1" s="45" t="s">
        <v>12</v>
      </c>
      <c r="F1" s="45" t="s">
        <v>13</v>
      </c>
      <c r="G1" s="45" t="s">
        <v>14</v>
      </c>
      <c r="H1" s="45" t="s">
        <v>0</v>
      </c>
      <c r="I1" s="45" t="s">
        <v>1</v>
      </c>
      <c r="J1" s="45"/>
      <c r="K1" s="45" t="s">
        <v>60</v>
      </c>
      <c r="L1" s="45" t="s">
        <v>13</v>
      </c>
      <c r="M1" s="45" t="s">
        <v>58</v>
      </c>
      <c r="N1" s="45" t="s">
        <v>2</v>
      </c>
      <c r="O1" s="45" t="s">
        <v>17</v>
      </c>
      <c r="P1" s="45" t="s">
        <v>55</v>
      </c>
      <c r="Q1" s="45"/>
      <c r="R1" s="45" t="s">
        <v>60</v>
      </c>
      <c r="S1" s="45" t="s">
        <v>13</v>
      </c>
      <c r="T1" s="45" t="s">
        <v>58</v>
      </c>
      <c r="U1" s="45" t="s">
        <v>2</v>
      </c>
      <c r="V1" s="45" t="s">
        <v>17</v>
      </c>
      <c r="W1" s="45" t="s">
        <v>55</v>
      </c>
      <c r="X1" s="45"/>
      <c r="Y1" s="46" t="s">
        <v>54</v>
      </c>
    </row>
    <row r="2" spans="1:25" x14ac:dyDescent="0.3">
      <c r="B2" s="47"/>
      <c r="C2" s="47"/>
      <c r="D2" s="47"/>
    </row>
    <row r="3" spans="1:25" x14ac:dyDescent="0.3">
      <c r="B3" s="47"/>
      <c r="C3" s="47"/>
      <c r="D3" s="47"/>
    </row>
    <row r="4" spans="1:25" x14ac:dyDescent="0.3">
      <c r="B4" s="47"/>
      <c r="C4" s="47"/>
      <c r="D4" s="47"/>
    </row>
    <row r="5" spans="1:25" x14ac:dyDescent="0.3">
      <c r="B5" s="47"/>
      <c r="C5" s="47"/>
      <c r="D5" s="47"/>
    </row>
    <row r="6" spans="1:25" x14ac:dyDescent="0.3">
      <c r="B6" s="47"/>
      <c r="C6" s="47"/>
      <c r="D6" s="47"/>
    </row>
    <row r="7" spans="1:25" x14ac:dyDescent="0.3">
      <c r="B7" s="47"/>
      <c r="C7" s="47"/>
      <c r="D7" s="47"/>
    </row>
  </sheetData>
  <phoneticPr fontId="16" type="noConversion"/>
  <pageMargins left="0.7" right="0.7" top="0.75" bottom="0.75" header="0.3" footer="0.3"/>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zoomScale="84" zoomScaleNormal="84" zoomScalePageLayoutView="137" workbookViewId="0">
      <selection activeCell="B18" sqref="B18"/>
    </sheetView>
  </sheetViews>
  <sheetFormatPr defaultColWidth="11.19921875" defaultRowHeight="15.6" x14ac:dyDescent="0.3"/>
  <cols>
    <col min="2" max="2" width="9.69921875" customWidth="1"/>
  </cols>
  <sheetData>
    <row r="1" spans="1:13" x14ac:dyDescent="0.3">
      <c r="A1" s="51" t="s">
        <v>18</v>
      </c>
      <c r="B1" s="50"/>
      <c r="C1" s="50"/>
      <c r="D1" s="50"/>
      <c r="E1" s="50"/>
      <c r="F1" s="50"/>
      <c r="G1" s="50"/>
      <c r="H1" s="73" t="s">
        <v>18</v>
      </c>
      <c r="I1" s="74"/>
      <c r="J1" s="74"/>
      <c r="K1" s="75"/>
      <c r="L1" s="75"/>
      <c r="M1" s="75"/>
    </row>
    <row r="2" spans="1:13" ht="67.05" customHeight="1" x14ac:dyDescent="0.3">
      <c r="A2" s="51">
        <v>4</v>
      </c>
      <c r="B2" s="86" t="s">
        <v>36</v>
      </c>
      <c r="C2" s="86"/>
      <c r="D2" s="86"/>
      <c r="E2" s="86"/>
      <c r="F2" s="86"/>
      <c r="G2" s="50"/>
      <c r="H2" s="77">
        <v>4</v>
      </c>
      <c r="I2" s="84" t="s">
        <v>36</v>
      </c>
      <c r="J2" s="84"/>
      <c r="K2" s="84"/>
      <c r="L2" s="84"/>
      <c r="M2" s="84"/>
    </row>
    <row r="3" spans="1:13" ht="69" customHeight="1" x14ac:dyDescent="0.3">
      <c r="A3" s="51">
        <v>3</v>
      </c>
      <c r="B3" s="86" t="s">
        <v>37</v>
      </c>
      <c r="C3" s="86"/>
      <c r="D3" s="86"/>
      <c r="E3" s="86"/>
      <c r="F3" s="86"/>
      <c r="G3" s="50"/>
      <c r="H3" s="77">
        <v>3</v>
      </c>
      <c r="I3" s="84" t="s">
        <v>37</v>
      </c>
      <c r="J3" s="84"/>
      <c r="K3" s="84"/>
      <c r="L3" s="84"/>
      <c r="M3" s="84"/>
    </row>
    <row r="4" spans="1:13" ht="67.05" customHeight="1" x14ac:dyDescent="0.3">
      <c r="A4" s="51">
        <v>2</v>
      </c>
      <c r="B4" s="86" t="s">
        <v>38</v>
      </c>
      <c r="C4" s="86"/>
      <c r="D4" s="86"/>
      <c r="E4" s="86"/>
      <c r="F4" s="86"/>
      <c r="G4" s="50"/>
      <c r="H4" s="77">
        <v>2</v>
      </c>
      <c r="I4" s="84" t="s">
        <v>38</v>
      </c>
      <c r="J4" s="84"/>
      <c r="K4" s="84"/>
      <c r="L4" s="84"/>
      <c r="M4" s="84"/>
    </row>
    <row r="5" spans="1:13" ht="66" customHeight="1" x14ac:dyDescent="0.3">
      <c r="A5" s="51">
        <v>1</v>
      </c>
      <c r="B5" s="86" t="s">
        <v>39</v>
      </c>
      <c r="C5" s="86"/>
      <c r="D5" s="86"/>
      <c r="E5" s="86"/>
      <c r="F5" s="86"/>
      <c r="G5" s="50"/>
      <c r="H5" s="77">
        <v>1</v>
      </c>
      <c r="I5" s="85" t="s">
        <v>39</v>
      </c>
      <c r="J5" s="84"/>
      <c r="K5" s="84"/>
      <c r="L5" s="84"/>
      <c r="M5" s="84"/>
    </row>
    <row r="6" spans="1:13" x14ac:dyDescent="0.3">
      <c r="A6" s="50"/>
      <c r="B6" s="50"/>
      <c r="C6" s="50"/>
      <c r="D6" s="50"/>
      <c r="E6" s="50"/>
      <c r="F6" s="50"/>
      <c r="G6" s="50"/>
      <c r="H6" s="74"/>
      <c r="I6" s="74"/>
      <c r="J6" s="74"/>
      <c r="K6" s="75"/>
      <c r="L6" s="75"/>
      <c r="M6" s="75"/>
    </row>
    <row r="7" spans="1:13" x14ac:dyDescent="0.3">
      <c r="A7" s="50"/>
      <c r="B7" s="50"/>
      <c r="C7" s="50"/>
      <c r="D7" s="50"/>
      <c r="E7" s="50"/>
      <c r="F7" s="50"/>
      <c r="G7" s="50"/>
      <c r="H7" s="74"/>
      <c r="I7" s="74"/>
      <c r="J7" s="74"/>
      <c r="K7" s="75"/>
      <c r="L7" s="75"/>
      <c r="M7" s="75"/>
    </row>
    <row r="8" spans="1:13" x14ac:dyDescent="0.3">
      <c r="A8" s="51" t="s">
        <v>10</v>
      </c>
      <c r="B8" s="50"/>
      <c r="C8" s="50"/>
      <c r="D8" s="50"/>
      <c r="E8" s="50"/>
      <c r="F8" s="50"/>
      <c r="G8" s="50"/>
      <c r="H8" s="76" t="s">
        <v>10</v>
      </c>
      <c r="I8" s="74"/>
      <c r="J8" s="74"/>
      <c r="K8" s="74"/>
      <c r="L8" s="74"/>
      <c r="M8" s="75"/>
    </row>
    <row r="9" spans="1:13" ht="34.049999999999997" customHeight="1" x14ac:dyDescent="0.3">
      <c r="A9" s="51">
        <v>5</v>
      </c>
      <c r="B9" s="86" t="s">
        <v>19</v>
      </c>
      <c r="C9" s="86"/>
      <c r="D9" s="86"/>
      <c r="E9" s="86"/>
      <c r="F9" s="50"/>
      <c r="G9" s="50"/>
      <c r="H9" s="77">
        <v>5</v>
      </c>
      <c r="I9" s="84" t="s">
        <v>19</v>
      </c>
      <c r="J9" s="84"/>
      <c r="K9" s="84"/>
      <c r="L9" s="84"/>
      <c r="M9" s="75"/>
    </row>
    <row r="10" spans="1:13" ht="31.95" customHeight="1" x14ac:dyDescent="0.3">
      <c r="A10" s="51">
        <v>4</v>
      </c>
      <c r="B10" s="86" t="s">
        <v>20</v>
      </c>
      <c r="C10" s="86"/>
      <c r="D10" s="86"/>
      <c r="E10" s="86"/>
      <c r="F10" s="50"/>
      <c r="G10" s="50"/>
      <c r="H10" s="77">
        <v>4</v>
      </c>
      <c r="I10" s="84" t="s">
        <v>20</v>
      </c>
      <c r="J10" s="84"/>
      <c r="K10" s="84"/>
      <c r="L10" s="84"/>
      <c r="M10" s="75"/>
    </row>
    <row r="11" spans="1:13" ht="31.05" customHeight="1" x14ac:dyDescent="0.3">
      <c r="A11" s="51">
        <v>3</v>
      </c>
      <c r="B11" s="86" t="s">
        <v>21</v>
      </c>
      <c r="C11" s="86"/>
      <c r="D11" s="86"/>
      <c r="E11" s="86"/>
      <c r="F11" s="50"/>
      <c r="G11" s="50"/>
      <c r="H11" s="77">
        <v>3</v>
      </c>
      <c r="I11" s="84" t="s">
        <v>21</v>
      </c>
      <c r="J11" s="84"/>
      <c r="K11" s="84"/>
      <c r="L11" s="84"/>
      <c r="M11" s="75"/>
    </row>
    <row r="12" spans="1:13" ht="31.95" customHeight="1" x14ac:dyDescent="0.3">
      <c r="A12" s="51">
        <v>2</v>
      </c>
      <c r="B12" s="86" t="s">
        <v>3</v>
      </c>
      <c r="C12" s="86"/>
      <c r="D12" s="86"/>
      <c r="E12" s="86"/>
      <c r="F12" s="50"/>
      <c r="G12" s="50"/>
      <c r="H12" s="77">
        <v>2</v>
      </c>
      <c r="I12" s="85" t="s">
        <v>139</v>
      </c>
      <c r="J12" s="84"/>
      <c r="K12" s="84"/>
      <c r="L12" s="84"/>
      <c r="M12" s="75"/>
    </row>
    <row r="13" spans="1:13" ht="27" customHeight="1" x14ac:dyDescent="0.3">
      <c r="A13" s="51">
        <v>1</v>
      </c>
      <c r="B13" s="86" t="s">
        <v>22</v>
      </c>
      <c r="C13" s="86"/>
      <c r="D13" s="86"/>
      <c r="E13" s="86"/>
      <c r="F13" s="50"/>
      <c r="G13" s="50"/>
      <c r="H13" s="77">
        <v>1</v>
      </c>
      <c r="I13" s="85" t="s">
        <v>138</v>
      </c>
      <c r="J13" s="84"/>
      <c r="K13" s="84"/>
      <c r="L13" s="84"/>
      <c r="M13" s="75"/>
    </row>
    <row r="14" spans="1:13" x14ac:dyDescent="0.3">
      <c r="A14" s="50"/>
      <c r="B14" s="50"/>
      <c r="C14" s="50"/>
      <c r="D14" s="50"/>
      <c r="E14" s="50"/>
      <c r="F14" s="50"/>
      <c r="G14" s="50"/>
      <c r="H14" s="50"/>
      <c r="I14" s="50"/>
      <c r="J14" s="50"/>
    </row>
    <row r="15" spans="1:13" x14ac:dyDescent="0.3">
      <c r="A15" s="50"/>
      <c r="B15" s="50"/>
      <c r="C15" s="50"/>
      <c r="D15" s="50"/>
      <c r="E15" s="50"/>
      <c r="F15" s="50"/>
      <c r="G15" s="50"/>
      <c r="H15" s="50"/>
      <c r="I15" s="50"/>
      <c r="J15" s="50"/>
    </row>
    <row r="16" spans="1:13" x14ac:dyDescent="0.3">
      <c r="A16" s="51" t="s">
        <v>23</v>
      </c>
      <c r="B16" s="50"/>
      <c r="C16" s="50"/>
      <c r="D16" s="50"/>
      <c r="E16" s="50"/>
      <c r="F16" s="50"/>
      <c r="G16" s="50"/>
      <c r="H16" s="51" t="s">
        <v>24</v>
      </c>
      <c r="I16" s="50"/>
      <c r="J16" s="50"/>
    </row>
    <row r="17" spans="1:10" x14ac:dyDescent="0.3">
      <c r="A17" s="49" t="s">
        <v>25</v>
      </c>
      <c r="B17" s="50"/>
      <c r="C17" s="50"/>
      <c r="D17" s="50"/>
      <c r="E17" s="50"/>
      <c r="F17" s="50"/>
      <c r="G17" s="50"/>
      <c r="H17" s="50"/>
      <c r="I17" s="50"/>
      <c r="J17" s="50"/>
    </row>
    <row r="18" spans="1:10" x14ac:dyDescent="0.3">
      <c r="A18" s="51">
        <v>5</v>
      </c>
      <c r="B18" s="52">
        <f t="shared" ref="B18:E22" si="0">$A18*B$23</f>
        <v>5</v>
      </c>
      <c r="C18" s="53">
        <f t="shared" si="0"/>
        <v>10</v>
      </c>
      <c r="D18" s="54">
        <f t="shared" si="0"/>
        <v>15</v>
      </c>
      <c r="E18" s="54">
        <f t="shared" si="0"/>
        <v>20</v>
      </c>
      <c r="F18" s="50"/>
      <c r="G18" s="50"/>
      <c r="H18" s="63" t="s">
        <v>26</v>
      </c>
      <c r="I18" s="50" t="s">
        <v>27</v>
      </c>
      <c r="J18" s="50"/>
    </row>
    <row r="19" spans="1:10" x14ac:dyDescent="0.3">
      <c r="A19" s="51">
        <v>4</v>
      </c>
      <c r="B19" s="55">
        <f t="shared" si="0"/>
        <v>4</v>
      </c>
      <c r="C19" s="52">
        <f t="shared" si="0"/>
        <v>8</v>
      </c>
      <c r="D19" s="53">
        <f t="shared" si="0"/>
        <v>12</v>
      </c>
      <c r="E19" s="54">
        <f t="shared" si="0"/>
        <v>16</v>
      </c>
      <c r="F19" s="50"/>
      <c r="G19" s="50"/>
      <c r="H19" s="64" t="s">
        <v>28</v>
      </c>
      <c r="I19" s="50" t="s">
        <v>29</v>
      </c>
      <c r="J19" s="50"/>
    </row>
    <row r="20" spans="1:10" x14ac:dyDescent="0.3">
      <c r="A20" s="51">
        <v>3</v>
      </c>
      <c r="B20" s="55">
        <f t="shared" si="0"/>
        <v>3</v>
      </c>
      <c r="C20" s="52">
        <f t="shared" si="0"/>
        <v>6</v>
      </c>
      <c r="D20" s="53">
        <f t="shared" si="0"/>
        <v>9</v>
      </c>
      <c r="E20" s="53">
        <f t="shared" si="0"/>
        <v>12</v>
      </c>
      <c r="F20" s="50"/>
      <c r="G20" s="50"/>
      <c r="H20" s="65" t="s">
        <v>30</v>
      </c>
      <c r="I20" s="50" t="s">
        <v>31</v>
      </c>
      <c r="J20" s="50"/>
    </row>
    <row r="21" spans="1:10" x14ac:dyDescent="0.3">
      <c r="A21" s="51">
        <v>2</v>
      </c>
      <c r="B21" s="56">
        <f t="shared" si="0"/>
        <v>2</v>
      </c>
      <c r="C21" s="55">
        <f t="shared" si="0"/>
        <v>4</v>
      </c>
      <c r="D21" s="52">
        <f t="shared" si="0"/>
        <v>6</v>
      </c>
      <c r="E21" s="52">
        <f t="shared" si="0"/>
        <v>8</v>
      </c>
      <c r="F21" s="50"/>
      <c r="G21" s="50"/>
      <c r="H21" s="66" t="s">
        <v>32</v>
      </c>
      <c r="I21" s="50" t="s">
        <v>33</v>
      </c>
      <c r="J21" s="50"/>
    </row>
    <row r="22" spans="1:10" x14ac:dyDescent="0.3">
      <c r="A22" s="51">
        <v>1</v>
      </c>
      <c r="B22" s="56">
        <f t="shared" si="0"/>
        <v>1</v>
      </c>
      <c r="C22" s="56">
        <f t="shared" si="0"/>
        <v>2</v>
      </c>
      <c r="D22" s="55">
        <f t="shared" si="0"/>
        <v>3</v>
      </c>
      <c r="E22" s="55">
        <f t="shared" si="0"/>
        <v>4</v>
      </c>
      <c r="F22" s="49"/>
      <c r="G22" s="50"/>
      <c r="H22" s="67" t="s">
        <v>34</v>
      </c>
      <c r="I22" s="50" t="s">
        <v>35</v>
      </c>
      <c r="J22" s="50"/>
    </row>
    <row r="23" spans="1:10" x14ac:dyDescent="0.3">
      <c r="A23" s="50"/>
      <c r="B23" s="59">
        <v>1</v>
      </c>
      <c r="C23" s="59">
        <v>2</v>
      </c>
      <c r="D23" s="59">
        <v>3</v>
      </c>
      <c r="E23" s="59">
        <v>4</v>
      </c>
      <c r="F23" s="49" t="s">
        <v>18</v>
      </c>
      <c r="G23" s="50"/>
      <c r="H23" s="50"/>
      <c r="I23" s="50"/>
      <c r="J23" s="50"/>
    </row>
  </sheetData>
  <mergeCells count="18">
    <mergeCell ref="B13:E13"/>
    <mergeCell ref="B3:F3"/>
    <mergeCell ref="B4:F4"/>
    <mergeCell ref="B5:F5"/>
    <mergeCell ref="B2:F2"/>
    <mergeCell ref="B9:E9"/>
    <mergeCell ref="B10:E10"/>
    <mergeCell ref="B11:E11"/>
    <mergeCell ref="B12:E12"/>
    <mergeCell ref="I10:L10"/>
    <mergeCell ref="I11:L11"/>
    <mergeCell ref="I12:L12"/>
    <mergeCell ref="I13:L13"/>
    <mergeCell ref="I2:M2"/>
    <mergeCell ref="I3:M3"/>
    <mergeCell ref="I4:M4"/>
    <mergeCell ref="I5:M5"/>
    <mergeCell ref="I9:L9"/>
  </mergeCells>
  <phoneticPr fontId="16" type="noConversion"/>
  <pageMargins left="0.7" right="0.7" top="0.75" bottom="0.75" header="0.3" footer="0.3"/>
  <pageSetup orientation="portrait" r:id="rId1"/>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13C1-406E-4457-AA3C-10CC5E31700B}">
  <dimension ref="A1:Y37"/>
  <sheetViews>
    <sheetView tabSelected="1" workbookViewId="0">
      <pane xSplit="3" ySplit="1" topLeftCell="D10" activePane="bottomRight" state="frozen"/>
      <selection pane="topRight" activeCell="D1" sqref="D1"/>
      <selection pane="bottomLeft" activeCell="A2" sqref="A2"/>
      <selection pane="bottomRight" activeCell="P15" sqref="P15"/>
    </sheetView>
  </sheetViews>
  <sheetFormatPr defaultColWidth="11.19921875" defaultRowHeight="15.6" x14ac:dyDescent="0.3"/>
  <cols>
    <col min="1" max="1" width="7.796875" style="71" customWidth="1"/>
    <col min="2" max="2" width="16" style="71" customWidth="1"/>
    <col min="3" max="3" width="22.69921875" style="71" customWidth="1"/>
    <col min="4" max="4" width="25.5" style="71" customWidth="1"/>
    <col min="5" max="5" width="18.296875" style="71" customWidth="1"/>
    <col min="6" max="6" width="7.69921875" style="71" customWidth="1"/>
    <col min="7" max="7" width="11.19921875" style="71"/>
    <col min="8" max="8" width="11.19921875" style="71" customWidth="1"/>
    <col min="9" max="9" width="11.19921875" style="71"/>
    <col min="10" max="10" width="1.69921875" style="72" customWidth="1"/>
    <col min="11" max="11" width="35.5" style="71" customWidth="1"/>
    <col min="12" max="12" width="9" style="71" customWidth="1"/>
    <col min="13" max="13" width="10.69921875" style="71" customWidth="1"/>
    <col min="14" max="14" width="7.296875" style="71" customWidth="1"/>
    <col min="15" max="15" width="10.296875" style="71" customWidth="1"/>
    <col min="16" max="16" width="18.5" style="71" customWidth="1"/>
    <col min="17" max="17" width="1.296875" style="72" customWidth="1"/>
    <col min="18" max="18" width="38.5" style="71" customWidth="1"/>
    <col min="19" max="19" width="8.296875" style="71" customWidth="1"/>
    <col min="20" max="22" width="11.19921875" style="71"/>
    <col min="23" max="23" width="23.5" style="71" customWidth="1"/>
    <col min="24" max="24" width="1.5" style="72" customWidth="1"/>
    <col min="25" max="25" width="28.5" style="71" customWidth="1"/>
    <col min="26" max="16384" width="11.19921875" style="71"/>
  </cols>
  <sheetData>
    <row r="1" spans="1:25" ht="66.599999999999994" thickBot="1" x14ac:dyDescent="0.35">
      <c r="A1" s="68" t="s">
        <v>69</v>
      </c>
      <c r="B1" s="69" t="s">
        <v>67</v>
      </c>
      <c r="C1" s="69" t="s">
        <v>70</v>
      </c>
      <c r="D1" s="69" t="s">
        <v>65</v>
      </c>
      <c r="E1" s="69" t="s">
        <v>12</v>
      </c>
      <c r="F1" s="69" t="s">
        <v>13</v>
      </c>
      <c r="G1" s="69" t="s">
        <v>14</v>
      </c>
      <c r="H1" s="69" t="s">
        <v>0</v>
      </c>
      <c r="I1" s="69" t="s">
        <v>1</v>
      </c>
      <c r="J1" s="69"/>
      <c r="K1" s="69" t="s">
        <v>60</v>
      </c>
      <c r="L1" s="69" t="s">
        <v>13</v>
      </c>
      <c r="M1" s="69" t="s">
        <v>58</v>
      </c>
      <c r="N1" s="69" t="s">
        <v>2</v>
      </c>
      <c r="O1" s="69" t="s">
        <v>17</v>
      </c>
      <c r="P1" s="69" t="s">
        <v>55</v>
      </c>
      <c r="Q1" s="69"/>
      <c r="R1" s="69" t="s">
        <v>60</v>
      </c>
      <c r="S1" s="69" t="s">
        <v>13</v>
      </c>
      <c r="T1" s="69" t="s">
        <v>58</v>
      </c>
      <c r="U1" s="69" t="s">
        <v>2</v>
      </c>
      <c r="V1" s="69" t="s">
        <v>17</v>
      </c>
      <c r="W1" s="69" t="s">
        <v>55</v>
      </c>
      <c r="X1" s="69"/>
      <c r="Y1" s="70" t="s">
        <v>54</v>
      </c>
    </row>
    <row r="2" spans="1:25" ht="93.6" x14ac:dyDescent="0.3">
      <c r="A2" s="71" t="s">
        <v>142</v>
      </c>
      <c r="B2" s="71" t="s">
        <v>92</v>
      </c>
      <c r="C2" s="71" t="s">
        <v>93</v>
      </c>
      <c r="D2" s="71" t="s">
        <v>101</v>
      </c>
      <c r="E2" s="71" t="s">
        <v>112</v>
      </c>
      <c r="F2" s="71">
        <v>1</v>
      </c>
      <c r="G2" s="71">
        <v>2</v>
      </c>
      <c r="H2" s="71">
        <f>IF(OR(F2="",G2=""),"",F2*G2)</f>
        <v>2</v>
      </c>
      <c r="I2" s="71" t="str" cm="1">
        <f t="array" ref="I2">IF(OR(F2="",G2=""),"",INDEX('Rating Systems'!$I$18:$I$22, MATCH(1, ('Plant-n-Search'!H2 &gt;= VALUE(LEFT('Rating Systems'!$H$18:$H$22,FIND("-",'Rating Systems'!$H$18:$H$22)-1))) * ('Plant-n-Search'!H2 &lt;= VALUE(MID('Rating Systems'!$H$18:$H$22,FIND("-",'Rating Systems'!$H$18:$H$22)+1,99))), 0)))</f>
        <v>Low Risk</v>
      </c>
      <c r="K2" s="71" t="s">
        <v>157</v>
      </c>
      <c r="L2" s="71">
        <v>1</v>
      </c>
      <c r="M2" s="71">
        <v>1</v>
      </c>
      <c r="N2" s="71">
        <f>IF(OR(L2="",M2=""),"",L2*M2)</f>
        <v>1</v>
      </c>
      <c r="O2" s="71" t="str" cm="1">
        <f t="array" ref="O2">IF(OR(L2="",M2=""),"",INDEX('Rating Systems'!$I$18:$I$22, MATCH(1, ('Plant-n-Search'!N2 &gt;= VALUE(LEFT('Rating Systems'!$H$18:$H$22,FIND("-",'Rating Systems'!$H$18:$H$22)-1))) * ('Plant-n-Search'!N2 &lt;= VALUE(MID('Rating Systems'!$H$18:$H$22,FIND("-",'Rating Systems'!$H$18:$H$22)+1,99))), 0)))</f>
        <v>Low Risk</v>
      </c>
      <c r="R2" s="71" t="s">
        <v>158</v>
      </c>
      <c r="S2" s="71">
        <v>3</v>
      </c>
      <c r="T2" s="71">
        <v>1</v>
      </c>
      <c r="U2" s="71">
        <f>IF(OR(S2="",T2=""),"",S2*T2)</f>
        <v>3</v>
      </c>
      <c r="V2" s="71" t="str" cm="1">
        <f t="array" ref="V2">IF(OR(S2="",T2=""),"",INDEX('Rating Systems'!$I$18:$I$22, MATCH(1, ('Plant-n-Search'!U2 &gt;= VALUE(LEFT('Rating Systems'!$H$18:$H$22,FIND("-",'Rating Systems'!$H$18:$H$22)-1))) * ('Plant-n-Search'!U2 &lt;= VALUE(MID('Rating Systems'!$H$18:$H$22,FIND("-",'Rating Systems'!$H$18:$H$22)+1,99))), 0)))</f>
        <v>Medium Low Risk</v>
      </c>
    </row>
    <row r="3" spans="1:25" ht="31.2" x14ac:dyDescent="0.3">
      <c r="E3" s="71" t="s">
        <v>113</v>
      </c>
      <c r="F3" s="71">
        <v>2</v>
      </c>
      <c r="G3" s="71">
        <v>1</v>
      </c>
      <c r="H3" s="71">
        <f>IF(OR(F3="",G3=""),"",F3*G3)</f>
        <v>2</v>
      </c>
      <c r="I3" s="71" t="str" cm="1">
        <f t="array" ref="I3">IF(OR(F3="",G3=""),"",INDEX('Rating Systems'!$I$18:$I$22, MATCH(1, ('Plant-n-Search'!H3 &gt;= VALUE(LEFT('Rating Systems'!$H$18:$H$22,FIND("-",'Rating Systems'!$H$18:$H$22)-1))) * ('Plant-n-Search'!H3 &lt;= VALUE(MID('Rating Systems'!$H$18:$H$22,FIND("-",'Rating Systems'!$H$18:$H$22)+1,99))), 0)))</f>
        <v>Low Risk</v>
      </c>
      <c r="K3" s="71" t="s">
        <v>140</v>
      </c>
      <c r="L3" s="71">
        <v>1</v>
      </c>
      <c r="M3" s="71">
        <v>2</v>
      </c>
      <c r="N3" s="71">
        <f t="shared" ref="N3:N29" si="0">IF(OR(L3="",M3=""),"",L3*M3)</f>
        <v>2</v>
      </c>
      <c r="O3" s="71" t="str" cm="1">
        <f t="array" ref="O3">IF(OR(L3="",M3=""),"",INDEX('Rating Systems'!$I$18:$I$22, MATCH(1, ('Plant-n-Search'!N3 &gt;= VALUE(LEFT('Rating Systems'!$H$18:$H$22,FIND("-",'Rating Systems'!$H$18:$H$22)-1))) * ('Plant-n-Search'!N3 &lt;= VALUE(MID('Rating Systems'!$H$18:$H$22,FIND("-",'Rating Systems'!$H$18:$H$22)+1,99))), 0)))</f>
        <v>Low Risk</v>
      </c>
      <c r="U3" s="71" t="str">
        <f t="shared" ref="U3:U28" si="1">IF(OR(S3="",T3=""),"",S3*T3)</f>
        <v/>
      </c>
      <c r="V3" s="71" t="str" cm="1">
        <f t="array" ref="V3">IF(OR(S3="",T3=""),"",INDEX('Rating Systems'!$I$18:$I$22, MATCH(1, ('Plant-n-Search'!U3 &gt;= VALUE(LEFT('Rating Systems'!$H$18:$H$22,FIND("-",'Rating Systems'!$H$18:$H$22)-1))) * ('Plant-n-Search'!U3 &lt;= VALUE(MID('Rating Systems'!$H$18:$H$22,FIND("-",'Rating Systems'!$H$18:$H$22)+1,99))), 0)))</f>
        <v/>
      </c>
    </row>
    <row r="4" spans="1:25" ht="46.8" x14ac:dyDescent="0.3">
      <c r="E4" s="71" t="s">
        <v>114</v>
      </c>
      <c r="F4" s="71">
        <v>1</v>
      </c>
      <c r="G4" s="71">
        <v>1</v>
      </c>
      <c r="H4" s="71">
        <f t="shared" ref="H4:H29" si="2">IF(OR(F4="",G4=""),"",F4*G4)</f>
        <v>1</v>
      </c>
      <c r="I4" s="71" t="str" cm="1">
        <f t="array" ref="I4">IF(OR(F4="",G4=""),"",INDEX('Rating Systems'!$I$18:$I$22, MATCH(1, ('Plant-n-Search'!H4 &gt;= VALUE(LEFT('Rating Systems'!$H$18:$H$22,FIND("-",'Rating Systems'!$H$18:$H$22)-1))) * ('Plant-n-Search'!H4 &lt;= VALUE(MID('Rating Systems'!$H$18:$H$22,FIND("-",'Rating Systems'!$H$18:$H$22)+1,99))), 0)))</f>
        <v>Low Risk</v>
      </c>
      <c r="K4" s="71" t="s">
        <v>141</v>
      </c>
      <c r="L4" s="71">
        <v>1</v>
      </c>
      <c r="M4" s="71">
        <v>1</v>
      </c>
      <c r="N4" s="71">
        <f t="shared" si="0"/>
        <v>1</v>
      </c>
      <c r="O4" s="71" t="str" cm="1">
        <f t="array" ref="O4">IF(OR(L4="",M4=""),"",INDEX('Rating Systems'!$I$18:$I$22, MATCH(1, ('Plant-n-Search'!N4 &gt;= VALUE(LEFT('Rating Systems'!$H$18:$H$22,FIND("-",'Rating Systems'!$H$18:$H$22)-1))) * ('Plant-n-Search'!N4 &lt;= VALUE(MID('Rating Systems'!$H$18:$H$22,FIND("-",'Rating Systems'!$H$18:$H$22)+1,99))), 0)))</f>
        <v>Low Risk</v>
      </c>
      <c r="U4" s="71" t="str">
        <f t="shared" si="1"/>
        <v/>
      </c>
      <c r="V4" s="71" t="str" cm="1">
        <f t="array" ref="V4">IF(OR(S4="",T4=""),"",INDEX('Rating Systems'!$I$18:$I$22, MATCH(1, ('Plant-n-Search'!U4 &gt;= VALUE(LEFT('Rating Systems'!$H$18:$H$22,FIND("-",'Rating Systems'!$H$18:$H$22)-1))) * ('Plant-n-Search'!U4 &lt;= VALUE(MID('Rating Systems'!$H$18:$H$22,FIND("-",'Rating Systems'!$H$18:$H$22)+1,99))), 0)))</f>
        <v/>
      </c>
    </row>
    <row r="5" spans="1:25" ht="78" x14ac:dyDescent="0.3">
      <c r="A5" s="71" t="s">
        <v>16</v>
      </c>
      <c r="C5" s="71" t="s">
        <v>94</v>
      </c>
      <c r="D5" s="71" t="s">
        <v>104</v>
      </c>
      <c r="E5" s="71" t="s">
        <v>115</v>
      </c>
      <c r="F5" s="71">
        <v>2</v>
      </c>
      <c r="G5" s="71">
        <v>1</v>
      </c>
      <c r="H5" s="71">
        <f t="shared" si="2"/>
        <v>2</v>
      </c>
      <c r="I5" s="71" t="str" cm="1">
        <f t="array" ref="I5">IF(OR(F5="",G5=""),"",INDEX('Rating Systems'!$I$18:$I$22, MATCH(1, ('Plant-n-Search'!H5 &gt;= VALUE(LEFT('Rating Systems'!$H$18:$H$22,FIND("-",'Rating Systems'!$H$18:$H$22)-1))) * ('Plant-n-Search'!H5 &lt;= VALUE(MID('Rating Systems'!$H$18:$H$22,FIND("-",'Rating Systems'!$H$18:$H$22)+1,99))), 0)))</f>
        <v>Low Risk</v>
      </c>
      <c r="K5" s="71" t="s">
        <v>140</v>
      </c>
      <c r="L5" s="71">
        <v>1</v>
      </c>
      <c r="M5" s="71">
        <v>1</v>
      </c>
      <c r="N5" s="71">
        <v>2</v>
      </c>
      <c r="O5" s="71" t="s">
        <v>35</v>
      </c>
      <c r="U5" s="71" t="str">
        <f t="shared" si="1"/>
        <v/>
      </c>
      <c r="V5" s="71" t="str" cm="1">
        <f t="array" ref="V5">IF(OR(S5="",T5=""),"",INDEX('Rating Systems'!$I$18:$I$22, MATCH(1, ('Plant-n-Search'!U5 &gt;= VALUE(LEFT('Rating Systems'!$H$18:$H$22,FIND("-",'Rating Systems'!$H$18:$H$22)-1))) * ('Plant-n-Search'!U5 &lt;= VALUE(MID('Rating Systems'!$H$18:$H$22,FIND("-",'Rating Systems'!$H$18:$H$22)+1,99))), 0)))</f>
        <v/>
      </c>
    </row>
    <row r="6" spans="1:25" ht="62.4" x14ac:dyDescent="0.3">
      <c r="E6" s="71" t="s">
        <v>116</v>
      </c>
      <c r="F6" s="71">
        <v>1</v>
      </c>
      <c r="G6" s="71">
        <v>1</v>
      </c>
      <c r="H6" s="71">
        <f t="shared" si="2"/>
        <v>1</v>
      </c>
      <c r="I6" s="71" t="str" cm="1">
        <f t="array" ref="I6">IF(OR(F6="",G6=""),"",INDEX('Rating Systems'!$I$18:$I$22, MATCH(1, ('Plant-n-Search'!H6 &gt;= VALUE(LEFT('Rating Systems'!$H$18:$H$22,FIND("-",'Rating Systems'!$H$18:$H$22)-1))) * ('Plant-n-Search'!H6 &lt;= VALUE(MID('Rating Systems'!$H$18:$H$22,FIND("-",'Rating Systems'!$H$18:$H$22)+1,99))), 0)))</f>
        <v>Low Risk</v>
      </c>
      <c r="N6" s="71" t="str">
        <f t="shared" si="0"/>
        <v/>
      </c>
      <c r="O6" s="71" t="str" cm="1">
        <f t="array" ref="O6">IF(OR(L6="",M6=""),"",INDEX('Rating Systems'!$I$18:$I$22, MATCH(1, ('Plant-n-Search'!N6 &gt;= VALUE(LEFT('Rating Systems'!$H$18:$H$22,FIND("-",'Rating Systems'!$H$18:$H$22)-1))) * ('Plant-n-Search'!N6 &lt;= VALUE(MID('Rating Systems'!$H$18:$H$22,FIND("-",'Rating Systems'!$H$18:$H$22)+1,99))), 0)))</f>
        <v/>
      </c>
      <c r="P6" s="71" t="s">
        <v>159</v>
      </c>
      <c r="U6" s="71" t="str">
        <f t="shared" si="1"/>
        <v/>
      </c>
      <c r="V6" s="71" t="str" cm="1">
        <f t="array" ref="V6">IF(OR(S6="",T6=""),"",INDEX('Rating Systems'!$I$18:$I$22, MATCH(1, ('Plant-n-Search'!U6 &gt;= VALUE(LEFT('Rating Systems'!$H$18:$H$22,FIND("-",'Rating Systems'!$H$18:$H$22)-1))) * ('Plant-n-Search'!U6 &lt;= VALUE(MID('Rating Systems'!$H$18:$H$22,FIND("-",'Rating Systems'!$H$18:$H$22)+1,99))), 0)))</f>
        <v/>
      </c>
    </row>
    <row r="7" spans="1:25" x14ac:dyDescent="0.3">
      <c r="E7" s="71" t="s">
        <v>117</v>
      </c>
      <c r="F7" s="71">
        <v>2</v>
      </c>
      <c r="G7" s="71">
        <v>1</v>
      </c>
      <c r="H7" s="71">
        <f t="shared" si="2"/>
        <v>2</v>
      </c>
      <c r="I7" s="71" t="str" cm="1">
        <f t="array" ref="I7">IF(OR(F7="",G7=""),"",INDEX('Rating Systems'!$I$18:$I$22, MATCH(1, ('Plant-n-Search'!H7 &gt;= VALUE(LEFT('Rating Systems'!$H$18:$H$22,FIND("-",'Rating Systems'!$H$18:$H$22)-1))) * ('Plant-n-Search'!H7 &lt;= VALUE(MID('Rating Systems'!$H$18:$H$22,FIND("-",'Rating Systems'!$H$18:$H$22)+1,99))), 0)))</f>
        <v>Low Risk</v>
      </c>
      <c r="N7" s="71" t="str">
        <f t="shared" si="0"/>
        <v/>
      </c>
      <c r="O7" s="71" t="str" cm="1">
        <f t="array" ref="O7">IF(OR(L7="",M7=""),"",INDEX('Rating Systems'!$I$18:$I$22, MATCH(1, ('Plant-n-Search'!N7 &gt;= VALUE(LEFT('Rating Systems'!$H$18:$H$22,FIND("-",'Rating Systems'!$H$18:$H$22)-1))) * ('Plant-n-Search'!N7 &lt;= VALUE(MID('Rating Systems'!$H$18:$H$22,FIND("-",'Rating Systems'!$H$18:$H$22)+1,99))), 0)))</f>
        <v/>
      </c>
      <c r="U7" s="71" t="str">
        <f t="shared" si="1"/>
        <v/>
      </c>
      <c r="V7" s="71" t="str" cm="1">
        <f t="array" ref="V7">IF(OR(S7="",T7=""),"",INDEX('Rating Systems'!$I$18:$I$22, MATCH(1, ('Plant-n-Search'!U7 &gt;= VALUE(LEFT('Rating Systems'!$H$18:$H$22,FIND("-",'Rating Systems'!$H$18:$H$22)-1))) * ('Plant-n-Search'!U7 &lt;= VALUE(MID('Rating Systems'!$H$18:$H$22,FIND("-",'Rating Systems'!$H$18:$H$22)+1,99))), 0)))</f>
        <v/>
      </c>
    </row>
    <row r="8" spans="1:25" ht="62.4" x14ac:dyDescent="0.3">
      <c r="E8" s="71" t="s">
        <v>118</v>
      </c>
      <c r="F8" s="71">
        <v>1</v>
      </c>
      <c r="G8" s="71">
        <v>1</v>
      </c>
      <c r="H8" s="71">
        <f t="shared" si="2"/>
        <v>1</v>
      </c>
      <c r="I8" s="71" t="str" cm="1">
        <f t="array" ref="I8">IF(OR(F8="",G8=""),"",INDEX('Rating Systems'!$I$18:$I$22, MATCH(1, ('Plant-n-Search'!H8 &gt;= VALUE(LEFT('Rating Systems'!$H$18:$H$22,FIND("-",'Rating Systems'!$H$18:$H$22)-1))) * ('Plant-n-Search'!H8 &lt;= VALUE(MID('Rating Systems'!$H$18:$H$22,FIND("-",'Rating Systems'!$H$18:$H$22)+1,99))), 0)))</f>
        <v>Low Risk</v>
      </c>
      <c r="K8" s="71" t="s">
        <v>160</v>
      </c>
      <c r="L8" s="71">
        <v>1</v>
      </c>
      <c r="M8" s="71">
        <v>1</v>
      </c>
      <c r="N8" s="71">
        <f t="shared" si="0"/>
        <v>1</v>
      </c>
      <c r="O8" s="71" t="str" cm="1">
        <f t="array" ref="O8">IF(OR(L8="",M8=""),"",INDEX('Rating Systems'!$I$18:$I$22, MATCH(1, ('Plant-n-Search'!N8 &gt;= VALUE(LEFT('Rating Systems'!$H$18:$H$22,FIND("-",'Rating Systems'!$H$18:$H$22)-1))) * ('Plant-n-Search'!N8 &lt;= VALUE(MID('Rating Systems'!$H$18:$H$22,FIND("-",'Rating Systems'!$H$18:$H$22)+1,99))), 0)))</f>
        <v>Low Risk</v>
      </c>
      <c r="U8" s="71" t="str">
        <f t="shared" si="1"/>
        <v/>
      </c>
      <c r="V8" s="71" t="str" cm="1">
        <f t="array" ref="V8">IF(OR(S8="",T8=""),"",INDEX('Rating Systems'!$I$18:$I$22, MATCH(1, ('Plant-n-Search'!U8 &gt;= VALUE(LEFT('Rating Systems'!$H$18:$H$22,FIND("-",'Rating Systems'!$H$18:$H$22)-1))) * ('Plant-n-Search'!U8 &lt;= VALUE(MID('Rating Systems'!$H$18:$H$22,FIND("-",'Rating Systems'!$H$18:$H$22)+1,99))), 0)))</f>
        <v/>
      </c>
    </row>
    <row r="9" spans="1:25" ht="93.6" x14ac:dyDescent="0.3">
      <c r="A9" s="71" t="s">
        <v>89</v>
      </c>
      <c r="C9" s="71" t="s">
        <v>95</v>
      </c>
      <c r="D9" s="71" t="s">
        <v>105</v>
      </c>
      <c r="E9" s="71" t="s">
        <v>112</v>
      </c>
      <c r="F9" s="71">
        <v>1</v>
      </c>
      <c r="G9" s="71">
        <v>2</v>
      </c>
      <c r="H9" s="71">
        <f t="shared" si="2"/>
        <v>2</v>
      </c>
      <c r="I9" s="71" t="str" cm="1">
        <f t="array" ref="I9">IF(OR(F9="",G9=""),"",INDEX('Rating Systems'!$I$18:$I$22, MATCH(1, ('Plant-n-Search'!H9 &gt;= VALUE(LEFT('Rating Systems'!$H$18:$H$22,FIND("-",'Rating Systems'!$H$18:$H$22)-1))) * ('Plant-n-Search'!H9 &lt;= VALUE(MID('Rating Systems'!$H$18:$H$22,FIND("-",'Rating Systems'!$H$18:$H$22)+1,99))), 0)))</f>
        <v>Low Risk</v>
      </c>
      <c r="K9" s="71" t="s">
        <v>157</v>
      </c>
      <c r="L9" s="71">
        <v>1</v>
      </c>
      <c r="M9" s="71">
        <v>1</v>
      </c>
      <c r="N9" s="71">
        <f t="shared" si="0"/>
        <v>1</v>
      </c>
      <c r="O9" s="71" t="str" cm="1">
        <f t="array" ref="O9">IF(OR(L9="",M9=""),"",INDEX('Rating Systems'!$I$18:$I$22, MATCH(1, ('Plant-n-Search'!N9 &gt;= VALUE(LEFT('Rating Systems'!$H$18:$H$22,FIND("-",'Rating Systems'!$H$18:$H$22)-1))) * ('Plant-n-Search'!N9 &lt;= VALUE(MID('Rating Systems'!$H$18:$H$22,FIND("-",'Rating Systems'!$H$18:$H$22)+1,99))), 0)))</f>
        <v>Low Risk</v>
      </c>
      <c r="R9" s="71" t="s">
        <v>158</v>
      </c>
      <c r="S9" s="71">
        <v>3</v>
      </c>
      <c r="T9" s="71">
        <v>1</v>
      </c>
      <c r="U9" s="71">
        <f t="shared" si="1"/>
        <v>3</v>
      </c>
      <c r="V9" s="71" t="str" cm="1">
        <f t="array" ref="V9">IF(OR(S9="",T9=""),"",INDEX('Rating Systems'!$I$18:$I$22, MATCH(1, ('Plant-n-Search'!U9 &gt;= VALUE(LEFT('Rating Systems'!$H$18:$H$22,FIND("-",'Rating Systems'!$H$18:$H$22)-1))) * ('Plant-n-Search'!U9 &lt;= VALUE(MID('Rating Systems'!$H$18:$H$22,FIND("-",'Rating Systems'!$H$18:$H$22)+1,99))), 0)))</f>
        <v>Medium Low Risk</v>
      </c>
    </row>
    <row r="10" spans="1:25" ht="46.8" x14ac:dyDescent="0.3">
      <c r="E10" s="71" t="s">
        <v>119</v>
      </c>
      <c r="F10" s="71">
        <v>2</v>
      </c>
      <c r="G10" s="71">
        <v>2</v>
      </c>
      <c r="H10" s="71">
        <f t="shared" si="2"/>
        <v>4</v>
      </c>
      <c r="I10" s="71" t="str" cm="1">
        <f t="array" ref="I10">IF(OR(F10="",G10=""),"",INDEX('Rating Systems'!$I$18:$I$22, MATCH(1, ('Plant-n-Search'!H10 &gt;= VALUE(LEFT('Rating Systems'!$H$18:$H$22,FIND("-",'Rating Systems'!$H$18:$H$22)-1))) * ('Plant-n-Search'!H10 &lt;= VALUE(MID('Rating Systems'!$H$18:$H$22,FIND("-",'Rating Systems'!$H$18:$H$22)+1,99))), 0)))</f>
        <v>Medium Low Risk</v>
      </c>
      <c r="K10" s="71" t="s">
        <v>141</v>
      </c>
      <c r="L10" s="71">
        <v>1</v>
      </c>
      <c r="M10" s="71">
        <v>1</v>
      </c>
      <c r="N10" s="71">
        <f t="shared" si="0"/>
        <v>1</v>
      </c>
      <c r="O10" s="71" t="str" cm="1">
        <f t="array" ref="O10">IF(OR(L10="",M10=""),"",INDEX('Rating Systems'!$I$18:$I$22, MATCH(1, ('Plant-n-Search'!N10 &gt;= VALUE(LEFT('Rating Systems'!$H$18:$H$22,FIND("-",'Rating Systems'!$H$18:$H$22)-1))) * ('Plant-n-Search'!N10 &lt;= VALUE(MID('Rating Systems'!$H$18:$H$22,FIND("-",'Rating Systems'!$H$18:$H$22)+1,99))), 0)))</f>
        <v>Low Risk</v>
      </c>
      <c r="P10" s="71" t="s">
        <v>155</v>
      </c>
      <c r="U10" s="71" t="str">
        <f t="shared" si="1"/>
        <v/>
      </c>
      <c r="V10" s="71" t="str" cm="1">
        <f t="array" ref="V10">IF(OR(S10="",T10=""),"",INDEX('Rating Systems'!$I$18:$I$22, MATCH(1, ('Plant-n-Search'!U10 &gt;= VALUE(LEFT('Rating Systems'!$H$18:$H$22,FIND("-",'Rating Systems'!$H$18:$H$22)-1))) * ('Plant-n-Search'!U10 &lt;= VALUE(MID('Rating Systems'!$H$18:$H$22,FIND("-",'Rating Systems'!$H$18:$H$22)+1,99))), 0)))</f>
        <v/>
      </c>
    </row>
    <row r="11" spans="1:25" ht="109.2" x14ac:dyDescent="0.3">
      <c r="A11" s="71" t="s">
        <v>143</v>
      </c>
      <c r="C11" s="71" t="s">
        <v>96</v>
      </c>
      <c r="D11" s="71" t="s">
        <v>106</v>
      </c>
      <c r="E11" s="71" t="s">
        <v>112</v>
      </c>
      <c r="F11" s="71">
        <v>1</v>
      </c>
      <c r="G11" s="71">
        <v>2</v>
      </c>
      <c r="H11" s="71">
        <f t="shared" si="2"/>
        <v>2</v>
      </c>
      <c r="I11" s="71" t="str" cm="1">
        <f t="array" ref="I11">IF(OR(F11="",G11=""),"",INDEX('Rating Systems'!$I$18:$I$22, MATCH(1, ('Plant-n-Search'!H11 &gt;= VALUE(LEFT('Rating Systems'!$H$18:$H$22,FIND("-",'Rating Systems'!$H$18:$H$22)-1))) * ('Plant-n-Search'!H11 &lt;= VALUE(MID('Rating Systems'!$H$18:$H$22,FIND("-",'Rating Systems'!$H$18:$H$22)+1,99))), 0)))</f>
        <v>Low Risk</v>
      </c>
      <c r="K11" s="71" t="s">
        <v>157</v>
      </c>
      <c r="L11" s="71">
        <v>1</v>
      </c>
      <c r="M11" s="71">
        <v>2</v>
      </c>
      <c r="N11" s="71">
        <f t="shared" si="0"/>
        <v>2</v>
      </c>
      <c r="O11" s="71" t="str" cm="1">
        <f t="array" ref="O11">IF(OR(L11="",M11=""),"",INDEX('Rating Systems'!$I$18:$I$22, MATCH(1, ('Plant-n-Search'!N11 &gt;= VALUE(LEFT('Rating Systems'!$H$18:$H$22,FIND("-",'Rating Systems'!$H$18:$H$22)-1))) * ('Plant-n-Search'!N11 &lt;= VALUE(MID('Rating Systems'!$H$18:$H$22,FIND("-",'Rating Systems'!$H$18:$H$22)+1,99))), 0)))</f>
        <v>Low Risk</v>
      </c>
      <c r="R11" s="71" t="s">
        <v>158</v>
      </c>
      <c r="S11" s="71">
        <v>3</v>
      </c>
      <c r="T11" s="71">
        <v>1</v>
      </c>
      <c r="U11" s="71">
        <f t="shared" si="1"/>
        <v>3</v>
      </c>
      <c r="V11" s="71" t="str" cm="1">
        <f t="array" ref="V11">IF(OR(S11="",T11=""),"",INDEX('Rating Systems'!$I$18:$I$22, MATCH(1, ('Plant-n-Search'!U11 &gt;= VALUE(LEFT('Rating Systems'!$H$18:$H$22,FIND("-",'Rating Systems'!$H$18:$H$22)-1))) * ('Plant-n-Search'!U11 &lt;= VALUE(MID('Rating Systems'!$H$18:$H$22,FIND("-",'Rating Systems'!$H$18:$H$22)+1,99))), 0)))</f>
        <v>Medium Low Risk</v>
      </c>
    </row>
    <row r="12" spans="1:25" ht="46.8" x14ac:dyDescent="0.3">
      <c r="E12" s="71" t="s">
        <v>119</v>
      </c>
      <c r="F12" s="71">
        <v>2</v>
      </c>
      <c r="G12" s="71">
        <v>2</v>
      </c>
      <c r="H12" s="71">
        <f t="shared" si="2"/>
        <v>4</v>
      </c>
      <c r="I12" s="71" t="str" cm="1">
        <f t="array" ref="I12">IF(OR(F12="",G12=""),"",INDEX('Rating Systems'!$I$18:$I$22, MATCH(1, ('Plant-n-Search'!H12 &gt;= VALUE(LEFT('Rating Systems'!$H$18:$H$22,FIND("-",'Rating Systems'!$H$18:$H$22)-1))) * ('Plant-n-Search'!H12 &lt;= VALUE(MID('Rating Systems'!$H$18:$H$22,FIND("-",'Rating Systems'!$H$18:$H$22)+1,99))), 0)))</f>
        <v>Medium Low Risk</v>
      </c>
      <c r="K12" s="71" t="s">
        <v>141</v>
      </c>
      <c r="L12" s="71">
        <v>1</v>
      </c>
      <c r="M12" s="71">
        <v>2</v>
      </c>
      <c r="N12" s="71">
        <f t="shared" si="0"/>
        <v>2</v>
      </c>
      <c r="O12" s="71" t="str" cm="1">
        <f t="array" ref="O12">IF(OR(L12="",M12=""),"",INDEX('Rating Systems'!$I$18:$I$22, MATCH(1, ('Plant-n-Search'!N12 &gt;= VALUE(LEFT('Rating Systems'!$H$18:$H$22,FIND("-",'Rating Systems'!$H$18:$H$22)-1))) * ('Plant-n-Search'!N12 &lt;= VALUE(MID('Rating Systems'!$H$18:$H$22,FIND("-",'Rating Systems'!$H$18:$H$22)+1,99))), 0)))</f>
        <v>Low Risk</v>
      </c>
      <c r="P12" s="71" t="s">
        <v>155</v>
      </c>
      <c r="U12" s="71" t="str">
        <f t="shared" si="1"/>
        <v/>
      </c>
      <c r="V12" s="71" t="str" cm="1">
        <f t="array" ref="V12">IF(OR(S12="",T12=""),"",INDEX('Rating Systems'!$I$18:$I$22, MATCH(1, ('Plant-n-Search'!U12 &gt;= VALUE(LEFT('Rating Systems'!$H$18:$H$22,FIND("-",'Rating Systems'!$H$18:$H$22)-1))) * ('Plant-n-Search'!U12 &lt;= VALUE(MID('Rating Systems'!$H$18:$H$22,FIND("-",'Rating Systems'!$H$18:$H$22)+1,99))), 0)))</f>
        <v/>
      </c>
    </row>
    <row r="13" spans="1:25" ht="62.4" x14ac:dyDescent="0.3">
      <c r="A13" s="71" t="s">
        <v>144</v>
      </c>
      <c r="C13" s="71" t="s">
        <v>97</v>
      </c>
      <c r="D13" s="71" t="s">
        <v>107</v>
      </c>
      <c r="E13" s="71" t="s">
        <v>120</v>
      </c>
      <c r="F13" s="71">
        <v>3</v>
      </c>
      <c r="G13" s="71">
        <v>3</v>
      </c>
      <c r="H13" s="71">
        <f t="shared" si="2"/>
        <v>9</v>
      </c>
      <c r="I13" s="71" t="str" cm="1">
        <f t="array" ref="I13">IF(OR(F13="",G13=""),"",INDEX('Rating Systems'!$I$18:$I$22, MATCH(1, ('Plant-n-Search'!H13 &gt;= VALUE(LEFT('Rating Systems'!$H$18:$H$22,FIND("-",'Rating Systems'!$H$18:$H$22)-1))) * ('Plant-n-Search'!H13 &lt;= VALUE(MID('Rating Systems'!$H$18:$H$22,FIND("-",'Rating Systems'!$H$18:$H$22)+1,99))), 0)))</f>
        <v>Medium High Risk</v>
      </c>
      <c r="K13" s="71" t="s">
        <v>154</v>
      </c>
      <c r="L13" s="71">
        <v>2</v>
      </c>
      <c r="M13" s="71">
        <v>4</v>
      </c>
      <c r="N13" s="71">
        <f t="shared" si="0"/>
        <v>8</v>
      </c>
      <c r="O13" s="71" t="str" cm="1">
        <f t="array" ref="O13">IF(OR(L13="",M13=""),"",INDEX('Rating Systems'!$I$18:$I$22, MATCH(1, ('Plant-n-Search'!N13 &gt;= VALUE(LEFT('Rating Systems'!$H$18:$H$22,FIND("-",'Rating Systems'!$H$18:$H$22)-1))) * ('Plant-n-Search'!N13 &lt;= VALUE(MID('Rating Systems'!$H$18:$H$22,FIND("-",'Rating Systems'!$H$18:$H$22)+1,99))), 0)))</f>
        <v>Medium Risk</v>
      </c>
      <c r="P13" s="71" t="s">
        <v>155</v>
      </c>
      <c r="R13" s="71" t="s">
        <v>153</v>
      </c>
      <c r="S13" s="71">
        <v>3</v>
      </c>
      <c r="T13" s="71">
        <v>2</v>
      </c>
      <c r="U13" s="71">
        <f t="shared" si="1"/>
        <v>6</v>
      </c>
      <c r="V13" s="71" t="str" cm="1">
        <f t="array" ref="V13">IF(OR(S13="",T13=""),"",INDEX('Rating Systems'!$I$18:$I$22, MATCH(1, ('Plant-n-Search'!U13 &gt;= VALUE(LEFT('Rating Systems'!$H$18:$H$22,FIND("-",'Rating Systems'!$H$18:$H$22)-1))) * ('Plant-n-Search'!U13 &lt;= VALUE(MID('Rating Systems'!$H$18:$H$22,FIND("-",'Rating Systems'!$H$18:$H$22)+1,99))), 0)))</f>
        <v>Medium Risk</v>
      </c>
    </row>
    <row r="14" spans="1:25" ht="78" x14ac:dyDescent="0.3">
      <c r="E14" s="71" t="s">
        <v>121</v>
      </c>
      <c r="F14" s="71">
        <v>1</v>
      </c>
      <c r="G14" s="71">
        <v>2</v>
      </c>
      <c r="H14" s="71">
        <f t="shared" si="2"/>
        <v>2</v>
      </c>
      <c r="I14" s="71" t="str" cm="1">
        <f t="array" ref="I14">IF(OR(F14="",G14=""),"",INDEX('Rating Systems'!$I$18:$I$22, MATCH(1, ('Plant-n-Search'!H14 &gt;= VALUE(LEFT('Rating Systems'!$H$18:$H$22,FIND("-",'Rating Systems'!$H$18:$H$22)-1))) * ('Plant-n-Search'!H14 &lt;= VALUE(MID('Rating Systems'!$H$18:$H$22,FIND("-",'Rating Systems'!$H$18:$H$22)+1,99))), 0)))</f>
        <v>Low Risk</v>
      </c>
      <c r="N14" s="71" t="str">
        <f t="shared" si="0"/>
        <v/>
      </c>
      <c r="O14" s="71" t="str" cm="1">
        <f t="array" ref="O14">IF(OR(L14="",M14=""),"",INDEX('Rating Systems'!$I$18:$I$22, MATCH(1, ('Plant-n-Search'!N14 &gt;= VALUE(LEFT('Rating Systems'!$H$18:$H$22,FIND("-",'Rating Systems'!$H$18:$H$22)-1))) * ('Plant-n-Search'!N14 &lt;= VALUE(MID('Rating Systems'!$H$18:$H$22,FIND("-",'Rating Systems'!$H$18:$H$22)+1,99))), 0)))</f>
        <v/>
      </c>
      <c r="P14" s="71" t="s">
        <v>161</v>
      </c>
      <c r="U14" s="71" t="str">
        <f t="shared" si="1"/>
        <v/>
      </c>
      <c r="V14" s="71" t="str" cm="1">
        <f t="array" ref="V14">IF(OR(S14="",T14=""),"",INDEX('Rating Systems'!$I$18:$I$22, MATCH(1, ('Plant-n-Search'!U14 &gt;= VALUE(LEFT('Rating Systems'!$H$18:$H$22,FIND("-",'Rating Systems'!$H$18:$H$22)-1))) * ('Plant-n-Search'!U14 &lt;= VALUE(MID('Rating Systems'!$H$18:$H$22,FIND("-",'Rating Systems'!$H$18:$H$22)+1,99))), 0)))</f>
        <v/>
      </c>
    </row>
    <row r="15" spans="1:25" ht="62.4" x14ac:dyDescent="0.3">
      <c r="A15" s="71" t="s">
        <v>145</v>
      </c>
      <c r="C15" s="71" t="s">
        <v>98</v>
      </c>
      <c r="D15" s="71" t="s">
        <v>108</v>
      </c>
      <c r="E15" s="71" t="s">
        <v>122</v>
      </c>
      <c r="F15" s="71">
        <v>1</v>
      </c>
      <c r="G15" s="71">
        <v>2</v>
      </c>
      <c r="H15" s="71">
        <f t="shared" si="2"/>
        <v>2</v>
      </c>
      <c r="I15" s="71" t="str" cm="1">
        <f t="array" ref="I15">IF(OR(F15="",G15=""),"",INDEX('Rating Systems'!$I$18:$I$22, MATCH(1, ('Plant-n-Search'!H15 &gt;= VALUE(LEFT('Rating Systems'!$H$18:$H$22,FIND("-",'Rating Systems'!$H$18:$H$22)-1))) * ('Plant-n-Search'!H15 &lt;= VALUE(MID('Rating Systems'!$H$18:$H$22,FIND("-",'Rating Systems'!$H$18:$H$22)+1,99))), 0)))</f>
        <v>Low Risk</v>
      </c>
      <c r="N15" s="71" t="str">
        <f t="shared" si="0"/>
        <v/>
      </c>
      <c r="O15" s="71" t="str" cm="1">
        <f t="array" ref="O15">IF(OR(L15="",M15=""),"",INDEX('Rating Systems'!$I$18:$I$22, MATCH(1, ('Plant-n-Search'!N15 &gt;= VALUE(LEFT('Rating Systems'!$H$18:$H$22,FIND("-",'Rating Systems'!$H$18:$H$22)-1))) * ('Plant-n-Search'!N15 &lt;= VALUE(MID('Rating Systems'!$H$18:$H$22,FIND("-",'Rating Systems'!$H$18:$H$22)+1,99))), 0)))</f>
        <v/>
      </c>
      <c r="U15" s="71" t="str">
        <f t="shared" si="1"/>
        <v/>
      </c>
      <c r="V15" s="71" t="str" cm="1">
        <f t="array" ref="V15">IF(OR(S15="",T15=""),"",INDEX('Rating Systems'!$I$18:$I$22, MATCH(1, ('Plant-n-Search'!U15 &gt;= VALUE(LEFT('Rating Systems'!$H$18:$H$22,FIND("-",'Rating Systems'!$H$18:$H$22)-1))) * ('Plant-n-Search'!U15 &lt;= VALUE(MID('Rating Systems'!$H$18:$H$22,FIND("-",'Rating Systems'!$H$18:$H$22)+1,99))), 0)))</f>
        <v/>
      </c>
    </row>
    <row r="16" spans="1:25" x14ac:dyDescent="0.3">
      <c r="E16" s="71" t="s">
        <v>123</v>
      </c>
      <c r="F16" s="71">
        <v>1</v>
      </c>
      <c r="G16" s="71">
        <v>2</v>
      </c>
      <c r="H16" s="71">
        <f t="shared" si="2"/>
        <v>2</v>
      </c>
      <c r="I16" s="71" t="str" cm="1">
        <f t="array" ref="I16">IF(OR(F16="",G16=""),"",INDEX('Rating Systems'!$I$18:$I$22, MATCH(1, ('Plant-n-Search'!H16 &gt;= VALUE(LEFT('Rating Systems'!$H$18:$H$22,FIND("-",'Rating Systems'!$H$18:$H$22)-1))) * ('Plant-n-Search'!H16 &lt;= VALUE(MID('Rating Systems'!$H$18:$H$22,FIND("-",'Rating Systems'!$H$18:$H$22)+1,99))), 0)))</f>
        <v>Low Risk</v>
      </c>
      <c r="N16" s="71" t="str">
        <f t="shared" si="0"/>
        <v/>
      </c>
      <c r="O16" s="71" t="str" cm="1">
        <f t="array" ref="O16">IF(OR(L16="",M16=""),"",INDEX('Rating Systems'!$I$18:$I$22, MATCH(1, ('Plant-n-Search'!N16 &gt;= VALUE(LEFT('Rating Systems'!$H$18:$H$22,FIND("-",'Rating Systems'!$H$18:$H$22)-1))) * ('Plant-n-Search'!N16 &lt;= VALUE(MID('Rating Systems'!$H$18:$H$22,FIND("-",'Rating Systems'!$H$18:$H$22)+1,99))), 0)))</f>
        <v/>
      </c>
      <c r="U16" s="71" t="str">
        <f t="shared" si="1"/>
        <v/>
      </c>
    </row>
    <row r="17" spans="1:23" x14ac:dyDescent="0.3">
      <c r="E17" s="71" t="s">
        <v>124</v>
      </c>
      <c r="F17" s="71">
        <v>1</v>
      </c>
      <c r="G17" s="71">
        <v>1</v>
      </c>
      <c r="H17" s="71">
        <f t="shared" si="2"/>
        <v>1</v>
      </c>
      <c r="I17" s="71" t="str" cm="1">
        <f t="array" ref="I17">IF(OR(F17="",G17=""),"",INDEX('Rating Systems'!$I$18:$I$22, MATCH(1, ('Plant-n-Search'!H17 &gt;= VALUE(LEFT('Rating Systems'!$H$18:$H$22,FIND("-",'Rating Systems'!$H$18:$H$22)-1))) * ('Plant-n-Search'!H17 &lt;= VALUE(MID('Rating Systems'!$H$18:$H$22,FIND("-",'Rating Systems'!$H$18:$H$22)+1,99))), 0)))</f>
        <v>Low Risk</v>
      </c>
      <c r="N17" s="71" t="str">
        <f t="shared" si="0"/>
        <v/>
      </c>
      <c r="O17" s="71" t="str" cm="1">
        <f t="array" ref="O17">IF(OR(L17="",M17=""),"",INDEX('Rating Systems'!$I$18:$I$22, MATCH(1, ('Plant-n-Search'!N17 &gt;= VALUE(LEFT('Rating Systems'!$H$18:$H$22,FIND("-",'Rating Systems'!$H$18:$H$22)-1))) * ('Plant-n-Search'!N17 &lt;= VALUE(MID('Rating Systems'!$H$18:$H$22,FIND("-",'Rating Systems'!$H$18:$H$22)+1,99))), 0)))</f>
        <v/>
      </c>
      <c r="U17" s="71" t="str">
        <f t="shared" si="1"/>
        <v/>
      </c>
    </row>
    <row r="18" spans="1:23" ht="46.8" x14ac:dyDescent="0.3">
      <c r="E18" s="71" t="s">
        <v>125</v>
      </c>
      <c r="F18" s="71">
        <v>1</v>
      </c>
      <c r="G18" s="71">
        <v>3</v>
      </c>
      <c r="H18" s="71">
        <f t="shared" si="2"/>
        <v>3</v>
      </c>
      <c r="I18" s="71" t="str" cm="1">
        <f t="array" ref="I18">IF(OR(F18="",G18=""),"",INDEX('Rating Systems'!$I$18:$I$22, MATCH(1, ('Plant-n-Search'!H18 &gt;= VALUE(LEFT('Rating Systems'!$H$18:$H$22,FIND("-",'Rating Systems'!$H$18:$H$22)-1))) * ('Plant-n-Search'!H18 &lt;= VALUE(MID('Rating Systems'!$H$18:$H$22,FIND("-",'Rating Systems'!$H$18:$H$22)+1,99))), 0)))</f>
        <v>Medium Low Risk</v>
      </c>
      <c r="K18" s="71" t="s">
        <v>152</v>
      </c>
      <c r="L18" s="71">
        <v>2</v>
      </c>
      <c r="M18" s="71">
        <v>3</v>
      </c>
      <c r="N18" s="71">
        <f t="shared" si="0"/>
        <v>6</v>
      </c>
      <c r="O18" s="71" t="str" cm="1">
        <f t="array" ref="O18">IF(OR(L18="",M18=""),"",INDEX('Rating Systems'!$I$18:$I$22, MATCH(1, ('Plant-n-Search'!N18 &gt;= VALUE(LEFT('Rating Systems'!$H$18:$H$22,FIND("-",'Rating Systems'!$H$18:$H$22)-1))) * ('Plant-n-Search'!N18 &lt;= VALUE(MID('Rating Systems'!$H$18:$H$22,FIND("-",'Rating Systems'!$H$18:$H$22)+1,99))), 0)))</f>
        <v>Medium Risk</v>
      </c>
      <c r="P18" s="71" t="s">
        <v>156</v>
      </c>
      <c r="U18" s="71" t="str">
        <f t="shared" si="1"/>
        <v/>
      </c>
    </row>
    <row r="19" spans="1:23" ht="46.8" x14ac:dyDescent="0.3">
      <c r="E19" s="71" t="s">
        <v>126</v>
      </c>
      <c r="F19" s="71">
        <v>1</v>
      </c>
      <c r="G19" s="71">
        <v>2</v>
      </c>
      <c r="H19" s="71">
        <f t="shared" si="2"/>
        <v>2</v>
      </c>
      <c r="I19" s="71" t="str" cm="1">
        <f t="array" ref="I19">IF(OR(F19="",G19=""),"",INDEX('Rating Systems'!$I$18:$I$22, MATCH(1, ('Plant-n-Search'!H19 &gt;= VALUE(LEFT('Rating Systems'!$H$18:$H$22,FIND("-",'Rating Systems'!$H$18:$H$22)-1))) * ('Plant-n-Search'!H19 &lt;= VALUE(MID('Rating Systems'!$H$18:$H$22,FIND("-",'Rating Systems'!$H$18:$H$22)+1,99))), 0)))</f>
        <v>Low Risk</v>
      </c>
      <c r="N19" s="71" t="str">
        <f t="shared" si="0"/>
        <v/>
      </c>
      <c r="O19" s="71" t="str" cm="1">
        <f t="array" ref="O19">IF(OR(L19="",M19=""),"",INDEX('Rating Systems'!$I$18:$I$22, MATCH(1, ('Plant-n-Search'!N19 &gt;= VALUE(LEFT('Rating Systems'!$H$18:$H$22,FIND("-",'Rating Systems'!$H$18:$H$22)-1))) * ('Plant-n-Search'!N19 &lt;= VALUE(MID('Rating Systems'!$H$18:$H$22,FIND("-",'Rating Systems'!$H$18:$H$22)+1,99))), 0)))</f>
        <v/>
      </c>
      <c r="U19" s="71" t="str">
        <f t="shared" si="1"/>
        <v/>
      </c>
    </row>
    <row r="20" spans="1:23" ht="46.8" x14ac:dyDescent="0.3">
      <c r="A20" s="71" t="s">
        <v>146</v>
      </c>
      <c r="C20" s="71" t="s">
        <v>131</v>
      </c>
      <c r="D20" s="71" t="s">
        <v>109</v>
      </c>
      <c r="E20" s="71" t="s">
        <v>127</v>
      </c>
      <c r="F20" s="71">
        <v>1</v>
      </c>
      <c r="G20" s="71">
        <v>2</v>
      </c>
      <c r="H20" s="71">
        <f t="shared" si="2"/>
        <v>2</v>
      </c>
      <c r="I20" s="71" t="str" cm="1">
        <f t="array" ref="I20">IF(OR(F20="",G20=""),"",INDEX('Rating Systems'!$I$18:$I$22, MATCH(1, ('Plant-n-Search'!H20 &gt;= VALUE(LEFT('Rating Systems'!$H$18:$H$22,FIND("-",'Rating Systems'!$H$18:$H$22)-1))) * ('Plant-n-Search'!H20 &lt;= VALUE(MID('Rating Systems'!$H$18:$H$22,FIND("-",'Rating Systems'!$H$18:$H$22)+1,99))), 0)))</f>
        <v>Low Risk</v>
      </c>
      <c r="N20" s="71" t="str">
        <f t="shared" si="0"/>
        <v/>
      </c>
      <c r="O20" s="71" t="str" cm="1">
        <f t="array" ref="O20">IF(OR(L20="",M20=""),"",INDEX('Rating Systems'!$I$18:$I$22, MATCH(1, ('Plant-n-Search'!N20 &gt;= VALUE(LEFT('Rating Systems'!$H$18:$H$22,FIND("-",'Rating Systems'!$H$18:$H$22)-1))) * ('Plant-n-Search'!N20 &lt;= VALUE(MID('Rating Systems'!$H$18:$H$22,FIND("-",'Rating Systems'!$H$18:$H$22)+1,99))), 0)))</f>
        <v/>
      </c>
      <c r="U20" s="71" t="str">
        <f t="shared" si="1"/>
        <v/>
      </c>
    </row>
    <row r="21" spans="1:23" ht="31.2" x14ac:dyDescent="0.3">
      <c r="E21" s="71" t="s">
        <v>128</v>
      </c>
      <c r="F21" s="71">
        <v>2</v>
      </c>
      <c r="G21" s="71">
        <v>1</v>
      </c>
      <c r="H21" s="71">
        <f t="shared" si="2"/>
        <v>2</v>
      </c>
      <c r="I21" s="71" t="str" cm="1">
        <f t="array" ref="I21">IF(OR(F21="",G21=""),"",INDEX('Rating Systems'!$I$18:$I$22, MATCH(1, ('Plant-n-Search'!H21 &gt;= VALUE(LEFT('Rating Systems'!$H$18:$H$22,FIND("-",'Rating Systems'!$H$18:$H$22)-1))) * ('Plant-n-Search'!H21 &lt;= VALUE(MID('Rating Systems'!$H$18:$H$22,FIND("-",'Rating Systems'!$H$18:$H$22)+1,99))), 0)))</f>
        <v>Low Risk</v>
      </c>
      <c r="N21" s="71" t="str">
        <f t="shared" si="0"/>
        <v/>
      </c>
      <c r="O21" s="71" t="str" cm="1">
        <f t="array" ref="O21">IF(OR(L21="",M21=""),"",INDEX('Rating Systems'!$I$18:$I$22, MATCH(1, ('Plant-n-Search'!N21 &gt;= VALUE(LEFT('Rating Systems'!$H$18:$H$22,FIND("-",'Rating Systems'!$H$18:$H$22)-1))) * ('Plant-n-Search'!N21 &lt;= VALUE(MID('Rating Systems'!$H$18:$H$22,FIND("-",'Rating Systems'!$H$18:$H$22)+1,99))), 0)))</f>
        <v/>
      </c>
      <c r="U21" s="71" t="str">
        <f t="shared" si="1"/>
        <v/>
      </c>
    </row>
    <row r="22" spans="1:23" ht="78" x14ac:dyDescent="0.3">
      <c r="A22" s="71" t="s">
        <v>147</v>
      </c>
      <c r="C22" s="71" t="s">
        <v>99</v>
      </c>
      <c r="D22" s="71" t="s">
        <v>110</v>
      </c>
      <c r="E22" s="71" t="s">
        <v>129</v>
      </c>
      <c r="F22" s="71">
        <v>1</v>
      </c>
      <c r="G22" s="71">
        <v>2</v>
      </c>
      <c r="H22" s="71">
        <f t="shared" si="2"/>
        <v>2</v>
      </c>
      <c r="I22" s="71" t="str" cm="1">
        <f t="array" ref="I22">IF(OR(F22="",G22=""),"",INDEX('Rating Systems'!$I$18:$I$22, MATCH(1, ('Plant-n-Search'!H22 &gt;= VALUE(LEFT('Rating Systems'!$H$18:$H$22,FIND("-",'Rating Systems'!$H$18:$H$22)-1))) * ('Plant-n-Search'!H22 &lt;= VALUE(MID('Rating Systems'!$H$18:$H$22,FIND("-",'Rating Systems'!$H$18:$H$22)+1,99))), 0)))</f>
        <v>Low Risk</v>
      </c>
      <c r="N22" s="71" t="str">
        <f t="shared" si="0"/>
        <v/>
      </c>
      <c r="O22" s="71" t="str" cm="1">
        <f t="array" ref="O22">IF(OR(L22="",M22=""),"",INDEX('Rating Systems'!$I$18:$I$22, MATCH(1, ('Plant-n-Search'!N22 &gt;= VALUE(LEFT('Rating Systems'!$H$18:$H$22,FIND("-",'Rating Systems'!$H$18:$H$22)-1))) * ('Plant-n-Search'!N22 &lt;= VALUE(MID('Rating Systems'!$H$18:$H$22,FIND("-",'Rating Systems'!$H$18:$H$22)+1,99))), 0)))</f>
        <v/>
      </c>
      <c r="U22" s="71" t="str">
        <f t="shared" si="1"/>
        <v/>
      </c>
    </row>
    <row r="23" spans="1:23" x14ac:dyDescent="0.3">
      <c r="E23" s="71" t="s">
        <v>130</v>
      </c>
      <c r="F23" s="71">
        <v>2</v>
      </c>
      <c r="G23" s="71">
        <v>1</v>
      </c>
      <c r="H23" s="71">
        <f t="shared" si="2"/>
        <v>2</v>
      </c>
      <c r="I23" s="71" t="str" cm="1">
        <f t="array" ref="I23">IF(OR(F23="",G23=""),"",INDEX('Rating Systems'!$I$18:$I$22, MATCH(1, ('Plant-n-Search'!H23 &gt;= VALUE(LEFT('Rating Systems'!$H$18:$H$22,FIND("-",'Rating Systems'!$H$18:$H$22)-1))) * ('Plant-n-Search'!H23 &lt;= VALUE(MID('Rating Systems'!$H$18:$H$22,FIND("-",'Rating Systems'!$H$18:$H$22)+1,99))), 0)))</f>
        <v>Low Risk</v>
      </c>
      <c r="N23" s="71" t="str">
        <f t="shared" si="0"/>
        <v/>
      </c>
      <c r="O23" s="71" t="str" cm="1">
        <f t="array" ref="O23">IF(OR(L23="",M23=""),"",INDEX('Rating Systems'!$I$18:$I$22, MATCH(1, ('Plant-n-Search'!N23 &gt;= VALUE(LEFT('Rating Systems'!$H$18:$H$22,FIND("-",'Rating Systems'!$H$18:$H$22)-1))) * ('Plant-n-Search'!N23 &lt;= VALUE(MID('Rating Systems'!$H$18:$H$22,FIND("-",'Rating Systems'!$H$18:$H$22)+1,99))), 0)))</f>
        <v/>
      </c>
      <c r="U23" s="71" t="str">
        <f t="shared" si="1"/>
        <v/>
      </c>
    </row>
    <row r="24" spans="1:23" ht="78" x14ac:dyDescent="0.3">
      <c r="A24" s="71" t="s">
        <v>148</v>
      </c>
      <c r="C24" s="71" t="s">
        <v>100</v>
      </c>
      <c r="D24" s="71" t="s">
        <v>111</v>
      </c>
      <c r="E24" s="71" t="s">
        <v>132</v>
      </c>
      <c r="F24" s="71">
        <v>1</v>
      </c>
      <c r="G24" s="71">
        <v>2</v>
      </c>
      <c r="H24" s="71">
        <f t="shared" si="2"/>
        <v>2</v>
      </c>
      <c r="I24" s="71" t="str" cm="1">
        <f t="array" ref="I24">IF(OR(F24="",G24=""),"",INDEX('Rating Systems'!$I$18:$I$22, MATCH(1, ('Plant-n-Search'!H24 &gt;= VALUE(LEFT('Rating Systems'!$H$18:$H$22,FIND("-",'Rating Systems'!$H$18:$H$22)-1))) * ('Plant-n-Search'!H24 &lt;= VALUE(MID('Rating Systems'!$H$18:$H$22,FIND("-",'Rating Systems'!$H$18:$H$22)+1,99))), 0)))</f>
        <v>Low Risk</v>
      </c>
      <c r="N24" s="71" t="str">
        <f t="shared" si="0"/>
        <v/>
      </c>
      <c r="O24" s="71" t="str" cm="1">
        <f t="array" ref="O24">IF(OR(L24="",M24=""),"",INDEX('Rating Systems'!$I$18:$I$22, MATCH(1, ('Plant-n-Search'!N24 &gt;= VALUE(LEFT('Rating Systems'!$H$18:$H$22,FIND("-",'Rating Systems'!$H$18:$H$22)-1))) * ('Plant-n-Search'!N24 &lt;= VALUE(MID('Rating Systems'!$H$18:$H$22,FIND("-",'Rating Systems'!$H$18:$H$22)+1,99))), 0)))</f>
        <v/>
      </c>
      <c r="U24" s="71" t="str">
        <f t="shared" si="1"/>
        <v/>
      </c>
    </row>
    <row r="25" spans="1:23" ht="46.8" x14ac:dyDescent="0.3">
      <c r="E25" s="71" t="s">
        <v>133</v>
      </c>
      <c r="F25" s="71">
        <v>1</v>
      </c>
      <c r="G25" s="71">
        <v>4</v>
      </c>
      <c r="H25" s="71">
        <f t="shared" si="2"/>
        <v>4</v>
      </c>
      <c r="I25" s="71" t="str" cm="1">
        <f t="array" ref="I25">IF(OR(F25="",G25=""),"",INDEX('Rating Systems'!$I$18:$I$22, MATCH(1, ('Plant-n-Search'!H25 &gt;= VALUE(LEFT('Rating Systems'!$H$18:$H$22,FIND("-",'Rating Systems'!$H$18:$H$22)-1))) * ('Plant-n-Search'!H25 &lt;= VALUE(MID('Rating Systems'!$H$18:$H$22,FIND("-",'Rating Systems'!$H$18:$H$22)+1,99))), 0)))</f>
        <v>Medium Low Risk</v>
      </c>
      <c r="K25" s="71" t="s">
        <v>151</v>
      </c>
      <c r="L25" s="71">
        <v>2</v>
      </c>
      <c r="M25" s="71">
        <v>3</v>
      </c>
      <c r="N25" s="71">
        <f t="shared" si="0"/>
        <v>6</v>
      </c>
      <c r="O25" s="71" t="str" cm="1">
        <f t="array" ref="O25">IF(OR(L25="",M25=""),"",INDEX('Rating Systems'!$I$18:$I$22, MATCH(1, ('Plant-n-Search'!N25 &gt;= VALUE(LEFT('Rating Systems'!$H$18:$H$22,FIND("-",'Rating Systems'!$H$18:$H$22)-1))) * ('Plant-n-Search'!N25 &lt;= VALUE(MID('Rating Systems'!$H$18:$H$22,FIND("-",'Rating Systems'!$H$18:$H$22)+1,99))), 0)))</f>
        <v>Medium Risk</v>
      </c>
      <c r="P25" s="71" t="s">
        <v>156</v>
      </c>
      <c r="U25" s="71" t="str">
        <f t="shared" si="1"/>
        <v/>
      </c>
    </row>
    <row r="26" spans="1:23" ht="31.2" x14ac:dyDescent="0.3">
      <c r="E26" s="71" t="s">
        <v>134</v>
      </c>
      <c r="F26" s="71">
        <v>1</v>
      </c>
      <c r="G26" s="71">
        <v>1</v>
      </c>
      <c r="H26" s="71">
        <f t="shared" si="2"/>
        <v>1</v>
      </c>
      <c r="I26" s="71" t="str" cm="1">
        <f t="array" ref="I26">IF(OR(F26="",G26=""),"",INDEX('Rating Systems'!$I$18:$I$22, MATCH(1, ('Plant-n-Search'!H26 &gt;= VALUE(LEFT('Rating Systems'!$H$18:$H$22,FIND("-",'Rating Systems'!$H$18:$H$22)-1))) * ('Plant-n-Search'!H26 &lt;= VALUE(MID('Rating Systems'!$H$18:$H$22,FIND("-",'Rating Systems'!$H$18:$H$22)+1,99))), 0)))</f>
        <v>Low Risk</v>
      </c>
      <c r="N26" s="71" t="str">
        <f t="shared" si="0"/>
        <v/>
      </c>
      <c r="O26" s="71" t="str" cm="1">
        <f t="array" ref="O26">IF(OR(L26="",M26=""),"",INDEX('Rating Systems'!$I$18:$I$22, MATCH(1, ('Plant-n-Search'!N26 &gt;= VALUE(LEFT('Rating Systems'!$H$18:$H$22,FIND("-",'Rating Systems'!$H$18:$H$22)-1))) * ('Plant-n-Search'!N26 &lt;= VALUE(MID('Rating Systems'!$H$18:$H$22,FIND("-",'Rating Systems'!$H$18:$H$22)+1,99))), 0)))</f>
        <v/>
      </c>
      <c r="U26" s="71" t="str">
        <f t="shared" si="1"/>
        <v/>
      </c>
    </row>
    <row r="27" spans="1:23" ht="31.2" x14ac:dyDescent="0.3">
      <c r="E27" s="71" t="s">
        <v>135</v>
      </c>
      <c r="F27" s="71">
        <v>1</v>
      </c>
      <c r="G27" s="71">
        <v>2</v>
      </c>
      <c r="H27" s="71">
        <f t="shared" si="2"/>
        <v>2</v>
      </c>
      <c r="I27" s="71" t="str" cm="1">
        <f t="array" ref="I27">IF(OR(F27="",G27=""),"",INDEX('Rating Systems'!$I$18:$I$22, MATCH(1, ('Plant-n-Search'!H27 &gt;= VALUE(LEFT('Rating Systems'!$H$18:$H$22,FIND("-",'Rating Systems'!$H$18:$H$22)-1))) * ('Plant-n-Search'!H27 &lt;= VALUE(MID('Rating Systems'!$H$18:$H$22,FIND("-",'Rating Systems'!$H$18:$H$22)+1,99))), 0)))</f>
        <v>Low Risk</v>
      </c>
      <c r="N27" s="71" t="str">
        <f t="shared" si="0"/>
        <v/>
      </c>
      <c r="O27" s="71" t="str" cm="1">
        <f t="array" ref="O27">IF(OR(L27="",M27=""),"",INDEX('Rating Systems'!$I$18:$I$22, MATCH(1, ('Plant-n-Search'!N27 &gt;= VALUE(LEFT('Rating Systems'!$H$18:$H$22,FIND("-",'Rating Systems'!$H$18:$H$22)-1))) * ('Plant-n-Search'!N27 &lt;= VALUE(MID('Rating Systems'!$H$18:$H$22,FIND("-",'Rating Systems'!$H$18:$H$22)+1,99))), 0)))</f>
        <v/>
      </c>
      <c r="U27" s="71" t="str">
        <f t="shared" si="1"/>
        <v/>
      </c>
    </row>
    <row r="28" spans="1:23" ht="31.2" x14ac:dyDescent="0.3">
      <c r="A28" s="71" t="s">
        <v>149</v>
      </c>
      <c r="C28" s="71" t="s">
        <v>102</v>
      </c>
      <c r="D28" s="71" t="s">
        <v>103</v>
      </c>
      <c r="E28" s="71" t="s">
        <v>136</v>
      </c>
      <c r="F28" s="71">
        <v>1</v>
      </c>
      <c r="G28" s="71">
        <v>2</v>
      </c>
      <c r="H28" s="71">
        <f t="shared" si="2"/>
        <v>2</v>
      </c>
      <c r="I28" s="71" t="str" cm="1">
        <f t="array" ref="I28">IF(OR(F28="",G28=""),"",INDEX('Rating Systems'!$I$18:$I$22, MATCH(1, ('Plant-n-Search'!H28 &gt;= VALUE(LEFT('Rating Systems'!$H$18:$H$22,FIND("-",'Rating Systems'!$H$18:$H$22)-1))) * ('Plant-n-Search'!H28 &lt;= VALUE(MID('Rating Systems'!$H$18:$H$22,FIND("-",'Rating Systems'!$H$18:$H$22)+1,99))), 0)))</f>
        <v>Low Risk</v>
      </c>
      <c r="N28" s="71" t="str">
        <f t="shared" si="0"/>
        <v/>
      </c>
      <c r="O28" s="71" t="str" cm="1">
        <f t="array" ref="O28">IF(OR(L28="",M28=""),"",INDEX('Rating Systems'!$I$18:$I$22, MATCH(1, ('Plant-n-Search'!N28 &gt;= VALUE(LEFT('Rating Systems'!$H$18:$H$22,FIND("-",'Rating Systems'!$H$18:$H$22)-1))) * ('Plant-n-Search'!N28 &lt;= VALUE(MID('Rating Systems'!$H$18:$H$22,FIND("-",'Rating Systems'!$H$18:$H$22)+1,99))), 0)))</f>
        <v/>
      </c>
      <c r="U28" s="71" t="str">
        <f t="shared" si="1"/>
        <v/>
      </c>
    </row>
    <row r="29" spans="1:23" ht="46.8" x14ac:dyDescent="0.3">
      <c r="E29" s="71" t="s">
        <v>137</v>
      </c>
      <c r="F29" s="71">
        <v>2</v>
      </c>
      <c r="G29" s="71">
        <v>3</v>
      </c>
      <c r="H29" s="71">
        <f t="shared" si="2"/>
        <v>6</v>
      </c>
      <c r="I29" s="71" t="str" cm="1">
        <f t="array" ref="I29">IF(OR(F29="",G29=""),"",INDEX('Rating Systems'!$I$18:$I$22, MATCH(1, ('Plant-n-Search'!H29 &gt;= VALUE(LEFT('Rating Systems'!$H$18:$H$22,FIND("-",'Rating Systems'!$H$18:$H$22)-1))) * ('Plant-n-Search'!H29 &lt;= VALUE(MID('Rating Systems'!$H$18:$H$22,FIND("-",'Rating Systems'!$H$18:$H$22)+1,99))), 0)))</f>
        <v>Medium Risk</v>
      </c>
      <c r="K29" s="71" t="s">
        <v>150</v>
      </c>
      <c r="L29" s="71">
        <v>2</v>
      </c>
      <c r="M29" s="71">
        <v>5</v>
      </c>
      <c r="N29" s="71">
        <f t="shared" si="0"/>
        <v>10</v>
      </c>
      <c r="O29" s="71" t="str" cm="1">
        <f t="array" ref="O29">IF(OR(L29="",M29=""),"",INDEX('Rating Systems'!$I$18:$I$22, MATCH(1, ('Plant-n-Search'!N29 &gt;= VALUE(LEFT('Rating Systems'!$H$18:$H$22,FIND("-",'Rating Systems'!$H$18:$H$22)-1))) * ('Plant-n-Search'!N29 &lt;= VALUE(MID('Rating Systems'!$H$18:$H$22,FIND("-",'Rating Systems'!$H$18:$H$22)+1,99))), 0)))</f>
        <v>Medium High Risk</v>
      </c>
      <c r="P29" s="71" t="s">
        <v>155</v>
      </c>
    </row>
    <row r="31" spans="1:23" x14ac:dyDescent="0.3">
      <c r="D31" s="87" t="s">
        <v>25</v>
      </c>
      <c r="E31" s="50"/>
      <c r="F31" s="50"/>
      <c r="G31" s="50"/>
      <c r="H31" s="50"/>
      <c r="I31" s="50"/>
      <c r="K31" s="87" t="s">
        <v>25</v>
      </c>
      <c r="L31" s="50"/>
      <c r="M31" s="50"/>
      <c r="N31" s="50"/>
      <c r="O31" s="50"/>
      <c r="P31" s="50"/>
      <c r="R31" s="87" t="s">
        <v>25</v>
      </c>
      <c r="S31" s="50"/>
      <c r="T31" s="50"/>
      <c r="U31" s="50"/>
      <c r="V31" s="50"/>
      <c r="W31" s="50"/>
    </row>
    <row r="32" spans="1:23" x14ac:dyDescent="0.25">
      <c r="D32" s="51">
        <v>5</v>
      </c>
      <c r="E32" s="52">
        <f>COUNTIFS(G$2:G$29, $D32, F$2:F$29, E$37)</f>
        <v>0</v>
      </c>
      <c r="F32" s="53">
        <f>COUNTIFS(G$2:G$29, $D32, F$2:F$29, F$37)</f>
        <v>0</v>
      </c>
      <c r="G32" s="54">
        <f>COUNTIFS(G$2:G$29, $D32, F$2:F$29, G$37)</f>
        <v>0</v>
      </c>
      <c r="H32" s="54">
        <f>COUNTIFS(G$2:G$29, $D32, F$2:F$29, H$37)</f>
        <v>0</v>
      </c>
      <c r="I32" s="50"/>
      <c r="K32" s="51">
        <v>5</v>
      </c>
      <c r="L32" s="52">
        <f>COUNTIFS(M$2:M$29, $K32, L$2:L$29, L$37)</f>
        <v>0</v>
      </c>
      <c r="M32" s="53">
        <f>COUNTIFS(M$2:M$29, $K32, L$2:L$29, M$37)</f>
        <v>1</v>
      </c>
      <c r="N32" s="54">
        <f>COUNTIFS(M$2:M$29, $K32, L$2:L$29, N$37)</f>
        <v>0</v>
      </c>
      <c r="O32" s="54">
        <f>COUNTIFS(M$2:M$29, $K32, L$2:L$29, O$37)</f>
        <v>0</v>
      </c>
      <c r="P32" s="50"/>
      <c r="R32" s="51">
        <v>5</v>
      </c>
      <c r="S32" s="52">
        <f>COUNTIFS(T$2:T$29, $R32, S$2:S$29, S$37)</f>
        <v>0</v>
      </c>
      <c r="T32" s="53">
        <f>COUNTIFS(T$2:T$29, $R32, S$2:S$29, T$37)</f>
        <v>0</v>
      </c>
      <c r="U32" s="54">
        <f>COUNTIFS(T$2:T$29, $R32, S$2:S$29, U$37)</f>
        <v>0</v>
      </c>
      <c r="V32" s="54">
        <f>COUNTIFS(T$2:T$29, $R32, S$2:S$29, V$37)</f>
        <v>0</v>
      </c>
      <c r="W32" s="50"/>
    </row>
    <row r="33" spans="4:23" x14ac:dyDescent="0.25">
      <c r="D33" s="51">
        <v>4</v>
      </c>
      <c r="E33" s="55">
        <f>COUNTIFS(G$2:G$29, $D33, F$2:F$29, E$37)</f>
        <v>1</v>
      </c>
      <c r="F33" s="52">
        <f>COUNTIFS(G$2:G$29, $D33, F$2:F$29, F$37)</f>
        <v>0</v>
      </c>
      <c r="G33" s="53">
        <f>COUNTIFS(G$2:G$29, $D33, F$2:F$29, G$37)</f>
        <v>0</v>
      </c>
      <c r="H33" s="54">
        <f>COUNTIFS(G$2:G$29, $D33, F$2:F$29, H$37)</f>
        <v>0</v>
      </c>
      <c r="I33" s="50"/>
      <c r="K33" s="51">
        <v>4</v>
      </c>
      <c r="L33" s="55">
        <f>COUNTIFS(M$2:M$29, $K33, L$2:L$29, L$37)</f>
        <v>0</v>
      </c>
      <c r="M33" s="52">
        <f>COUNTIFS(M$2:M$29, $K33, L$2:L$29, M$37)</f>
        <v>1</v>
      </c>
      <c r="N33" s="53">
        <f>COUNTIFS(M$2:M$29, $K33, L$2:L$29, N$37)</f>
        <v>0</v>
      </c>
      <c r="O33" s="54">
        <f>COUNTIFS(M$2:M$29, $K33, L$2:L$29, O$37)</f>
        <v>0</v>
      </c>
      <c r="P33" s="50"/>
      <c r="R33" s="51">
        <v>4</v>
      </c>
      <c r="S33" s="55">
        <f>COUNTIFS(T$2:T$29, $R33, S$2:S$29, S$37)</f>
        <v>0</v>
      </c>
      <c r="T33" s="52">
        <f>COUNTIFS(T$2:T$29, $R33, S$2:S$29, T$37)</f>
        <v>0</v>
      </c>
      <c r="U33" s="53">
        <f>COUNTIFS(T$2:T$29, $R33, S$2:S$29, U$37)</f>
        <v>0</v>
      </c>
      <c r="V33" s="54">
        <f>COUNTIFS(T$2:T$29, $R33, S$2:S$29, V$37)</f>
        <v>0</v>
      </c>
      <c r="W33" s="50"/>
    </row>
    <row r="34" spans="4:23" x14ac:dyDescent="0.25">
      <c r="D34" s="51">
        <v>3</v>
      </c>
      <c r="E34" s="55">
        <f>COUNTIFS(G$2:G$29, $D34, F$2:F$29, E$37)</f>
        <v>1</v>
      </c>
      <c r="F34" s="52">
        <f>COUNTIFS(G$2:G$29, $D34, F$2:F$29, F$37)</f>
        <v>1</v>
      </c>
      <c r="G34" s="53">
        <f>COUNTIFS(G$2:G$29, $D34, F$2:F$29, G$37)</f>
        <v>1</v>
      </c>
      <c r="H34" s="53">
        <f>COUNTIFS(G$2:G$29, $D34, F$2:F$29, H$37)</f>
        <v>0</v>
      </c>
      <c r="I34" s="50"/>
      <c r="K34" s="51">
        <v>3</v>
      </c>
      <c r="L34" s="55">
        <f>COUNTIFS(M$2:M$29, $K34, L$2:L$29, L$37)</f>
        <v>0</v>
      </c>
      <c r="M34" s="52">
        <f>COUNTIFS(M$2:M$29, $K34, L$2:L$29, M$37)</f>
        <v>2</v>
      </c>
      <c r="N34" s="53">
        <f>COUNTIFS(M$2:M$29, $K34, L$2:L$29, N$37)</f>
        <v>0</v>
      </c>
      <c r="O34" s="53">
        <f>COUNTIFS(M$2:M$29, $K34, L$2:L$29, O$37)</f>
        <v>0</v>
      </c>
      <c r="P34" s="50"/>
      <c r="R34" s="51">
        <v>3</v>
      </c>
      <c r="S34" s="55">
        <f>COUNTIFS(T$2:T$29, $R34, S$2:S$29, S$37)</f>
        <v>0</v>
      </c>
      <c r="T34" s="52">
        <f>COUNTIFS(T$2:T$29, $R34, S$2:S$29, T$37)</f>
        <v>0</v>
      </c>
      <c r="U34" s="53">
        <f>COUNTIFS(T$2:T$29, $R34, S$2:S$29, U$37)</f>
        <v>0</v>
      </c>
      <c r="V34" s="53">
        <f>COUNTIFS(T$2:T$29, $R34, S$2:S$29, V$37)</f>
        <v>0</v>
      </c>
      <c r="W34" s="50"/>
    </row>
    <row r="35" spans="4:23" x14ac:dyDescent="0.25">
      <c r="D35" s="51">
        <v>2</v>
      </c>
      <c r="E35" s="56">
        <f>COUNTIFS(G$2:G$29, $D35, F$2:F$29, E$37)</f>
        <v>12</v>
      </c>
      <c r="F35" s="55">
        <f>COUNTIFS(G$2:G$29, $D35, F$2:F$29, F$37)</f>
        <v>2</v>
      </c>
      <c r="G35" s="52">
        <f>COUNTIFS(G$2:G$29, $D35, F$2:F$29, G$37)</f>
        <v>0</v>
      </c>
      <c r="H35" s="52">
        <f>COUNTIFS(G$2:G$29, $D35, F$2:F$29, H$37)</f>
        <v>0</v>
      </c>
      <c r="I35" s="50"/>
      <c r="K35" s="51">
        <v>2</v>
      </c>
      <c r="L35" s="56">
        <f>COUNTIFS(M$2:M$29, $K35, L$2:L$29, L$37)</f>
        <v>3</v>
      </c>
      <c r="M35" s="55">
        <f>COUNTIFS(M$2:M$29, $K35, L$2:L$29, M$37)</f>
        <v>0</v>
      </c>
      <c r="N35" s="52">
        <f>COUNTIFS(M$2:M$29, $K35, L$2:L$29, N$37)</f>
        <v>0</v>
      </c>
      <c r="O35" s="52">
        <f>COUNTIFS(M$2:M$29, $K35, L$2:L$29, O$37)</f>
        <v>0</v>
      </c>
      <c r="P35" s="50"/>
      <c r="R35" s="51">
        <v>2</v>
      </c>
      <c r="S35" s="56">
        <f>COUNTIFS(T$2:T$29, $R35, S$2:S$29, S$37)</f>
        <v>0</v>
      </c>
      <c r="T35" s="55">
        <f>COUNTIFS(T$2:T$29, $R35, S$2:S$29, T$37)</f>
        <v>0</v>
      </c>
      <c r="U35" s="52">
        <f>COUNTIFS(T$2:T$29, $R35, S$2:S$29, U$37)</f>
        <v>1</v>
      </c>
      <c r="V35" s="52">
        <f>COUNTIFS(T$2:T$29, $R35, S$2:S$29, V$37)</f>
        <v>0</v>
      </c>
      <c r="W35" s="50"/>
    </row>
    <row r="36" spans="4:23" x14ac:dyDescent="0.3">
      <c r="D36" s="51">
        <v>1</v>
      </c>
      <c r="E36" s="56">
        <f>COUNTIFS(G$2:G$29, $D36, F$2:F$29, E$37)</f>
        <v>5</v>
      </c>
      <c r="F36" s="56">
        <f>COUNTIFS(G$2:G$29, $D36, F$2:F$29, F$37)</f>
        <v>5</v>
      </c>
      <c r="G36" s="55">
        <f>COUNTIFS(G$2:G$29, $D36, F$2:F$29, G$37)</f>
        <v>0</v>
      </c>
      <c r="H36" s="55">
        <f>COUNTIFS(G$2:G$29, $D36, F$2:F$29, H$37)</f>
        <v>0</v>
      </c>
      <c r="I36" s="49"/>
      <c r="K36" s="51">
        <v>1</v>
      </c>
      <c r="L36" s="56">
        <f>COUNTIFS(M$2:M$29, $K36, L$2:L$29, L$37)</f>
        <v>6</v>
      </c>
      <c r="M36" s="56">
        <f>COUNTIFS(M$2:M$29, $K36, L$2:L$29, M$37)</f>
        <v>0</v>
      </c>
      <c r="N36" s="55">
        <f>COUNTIFS(M$2:M$29, $K36, L$2:L$29, N$37)</f>
        <v>0</v>
      </c>
      <c r="O36" s="55">
        <f>COUNTIFS(M$2:M$29, $K36, L$2:L$29, O$37)</f>
        <v>0</v>
      </c>
      <c r="P36" s="49"/>
      <c r="R36" s="51">
        <v>1</v>
      </c>
      <c r="S36" s="56">
        <f>COUNTIFS(T$2:T$29, $R36, S$2:S$29, S$37)</f>
        <v>0</v>
      </c>
      <c r="T36" s="56">
        <f>COUNTIFS(T$2:T$29, $R36, S$2:S$29, T$37)</f>
        <v>0</v>
      </c>
      <c r="U36" s="55">
        <f>COUNTIFS(T$2:T$29, $R36, S$2:S$29, U$37)</f>
        <v>3</v>
      </c>
      <c r="V36" s="55">
        <f>COUNTIFS(T$2:T$29, $R36, S$2:S$29, V$37)</f>
        <v>0</v>
      </c>
      <c r="W36" s="49"/>
    </row>
    <row r="37" spans="4:23" x14ac:dyDescent="0.3">
      <c r="D37" s="50"/>
      <c r="E37" s="59">
        <v>1</v>
      </c>
      <c r="F37" s="59">
        <v>2</v>
      </c>
      <c r="G37" s="59">
        <v>3</v>
      </c>
      <c r="H37" s="59">
        <v>4</v>
      </c>
      <c r="I37" s="49" t="s">
        <v>18</v>
      </c>
      <c r="K37" s="50"/>
      <c r="L37" s="59">
        <v>1</v>
      </c>
      <c r="M37" s="59">
        <v>2</v>
      </c>
      <c r="N37" s="59">
        <v>3</v>
      </c>
      <c r="O37" s="59">
        <v>4</v>
      </c>
      <c r="P37" s="49" t="s">
        <v>18</v>
      </c>
      <c r="R37" s="50"/>
      <c r="S37" s="59">
        <v>1</v>
      </c>
      <c r="T37" s="59">
        <v>2</v>
      </c>
      <c r="U37" s="59">
        <v>3</v>
      </c>
      <c r="V37" s="59">
        <v>4</v>
      </c>
      <c r="W37" s="49" t="s">
        <v>18</v>
      </c>
    </row>
  </sheetData>
  <phoneticPr fontId="19" type="noConversion"/>
  <conditionalFormatting sqref="I1:I1048576">
    <cfRule type="cellIs" dxfId="23" priority="21" operator="equal">
      <formula>"Medium High Risk"</formula>
    </cfRule>
    <cfRule type="cellIs" dxfId="22" priority="22" operator="equal">
      <formula>"Medium Risk"</formula>
    </cfRule>
    <cfRule type="cellIs" dxfId="21" priority="23" operator="equal">
      <formula>"Medium Low Risk"</formula>
    </cfRule>
    <cfRule type="cellIs" dxfId="20" priority="24" operator="equal">
      <formula>"Low Risk"</formula>
    </cfRule>
  </conditionalFormatting>
  <conditionalFormatting sqref="V2:V15">
    <cfRule type="cellIs" dxfId="15" priority="13" operator="equal">
      <formula>"Medium High Risk"</formula>
    </cfRule>
    <cfRule type="cellIs" dxfId="14" priority="14" operator="equal">
      <formula>"Medium Risk"</formula>
    </cfRule>
    <cfRule type="cellIs" dxfId="13" priority="15" operator="equal">
      <formula>"Medium Low Risk"</formula>
    </cfRule>
    <cfRule type="cellIs" dxfId="12" priority="16" operator="equal">
      <formula>"Low Risk"</formula>
    </cfRule>
  </conditionalFormatting>
  <conditionalFormatting sqref="P31:P37">
    <cfRule type="cellIs" dxfId="11" priority="9" operator="equal">
      <formula>"Medium High Risk"</formula>
    </cfRule>
    <cfRule type="cellIs" dxfId="10" priority="10" operator="equal">
      <formula>"Medium Risk"</formula>
    </cfRule>
    <cfRule type="cellIs" dxfId="9" priority="11" operator="equal">
      <formula>"Medium Low Risk"</formula>
    </cfRule>
    <cfRule type="cellIs" dxfId="8" priority="12" operator="equal">
      <formula>"Low Risk"</formula>
    </cfRule>
  </conditionalFormatting>
  <conditionalFormatting sqref="O2:O29">
    <cfRule type="cellIs" dxfId="3" priority="5" operator="equal">
      <formula>"Medium High Risk"</formula>
    </cfRule>
    <cfRule type="cellIs" dxfId="2" priority="6" operator="equal">
      <formula>"Medium Risk"</formula>
    </cfRule>
    <cfRule type="cellIs" dxfId="1" priority="7" operator="equal">
      <formula>"Medium Low Risk"</formula>
    </cfRule>
    <cfRule type="cellIs" dxfId="0" priority="8" operator="equal">
      <formula>"Low Risk"</formula>
    </cfRule>
  </conditionalFormatting>
  <conditionalFormatting sqref="W31:W37">
    <cfRule type="cellIs" dxfId="7" priority="1" operator="equal">
      <formula>"Medium High Risk"</formula>
    </cfRule>
    <cfRule type="cellIs" dxfId="6" priority="2" operator="equal">
      <formula>"Medium Risk"</formula>
    </cfRule>
    <cfRule type="cellIs" dxfId="5" priority="3" operator="equal">
      <formula>"Medium Low Risk"</formula>
    </cfRule>
    <cfRule type="cellIs" dxfId="4" priority="4" operator="equal">
      <formula>"Low Risk"</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Sample</vt:lpstr>
      <vt:lpstr>Template</vt:lpstr>
      <vt:lpstr>Rating Systems</vt:lpstr>
      <vt:lpstr>Plant-n-Search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Wik-Grimm</dc:creator>
  <cp:lastModifiedBy>Kassandra Keeton</cp:lastModifiedBy>
  <dcterms:created xsi:type="dcterms:W3CDTF">2013-01-17T14:55:19Z</dcterms:created>
  <dcterms:modified xsi:type="dcterms:W3CDTF">2025-04-29T01:31:31Z</dcterms:modified>
</cp:coreProperties>
</file>